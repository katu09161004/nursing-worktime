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入力" sheetId="2" state="visible" r:id="rId2"/>
    <sheet xmlns:r="http://schemas.openxmlformats.org/officeDocument/2006/relationships" name="定義" sheetId="3" state="hidden" r:id="rId3"/>
    <sheet xmlns:r="http://schemas.openxmlformats.org/officeDocument/2006/relationships" name="集計" sheetId="4" state="visible" r:id="rId4"/>
  </sheets>
  <definedNames>
    <definedName name="sub_admin_edu" hidden="0" function="0" vbProcedure="0">定義!$M$2:$M$4</definedName>
    <definedName name="sub_clerical" hidden="0" function="0" vbProcedure="0">定義!$K$2:$K$3</definedName>
    <definedName name="sub_contact" hidden="0" function="0" vbProcedure="0">定義!$L$2:$L$4</definedName>
    <definedName name="sub_direct1" hidden="0" function="0" vbProcedure="0">定義!$E$2:$E$8</definedName>
    <definedName name="sub_direct2" hidden="0" function="0" vbProcedure="0">定義!$F$2:$F$9</definedName>
    <definedName name="sub_direct3" hidden="0" function="0" vbProcedure="0">定義!$G$2:$G$5</definedName>
    <definedName name="sub_env" hidden="0" function="0" vbProcedure="0">定義!$J$2:$J$4</definedName>
    <definedName name="sub_indirect" hidden="0" function="0" vbProcedure="0">定義!$H$2:$H$9</definedName>
    <definedName name="sub_personal" hidden="0" function="0" vbProcedure="0">定義!$N$2:$N$3</definedName>
    <definedName name="sub_supplies" hidden="0" function="0" vbProcedure="0">定義!$I$2:$I$4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hh:mm"/>
    <numFmt numFmtId="166" formatCode="0.0%"/>
  </numFmts>
  <fonts count="4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F766E"/>
      <sz val="16"/>
    </font>
    <font>
      <name val="Noto Sans CJK SC"/>
      <family val="2"/>
      <color rgb="FF64748B"/>
      <sz val="9"/>
    </font>
    <font>
      <name val="Meiryo"/>
      <charset val="1"/>
      <family val="0"/>
      <color rgb="FF64748B"/>
      <sz val="9"/>
    </font>
    <font>
      <name val="Noto Sans CJK SC"/>
      <family val="2"/>
      <b val="1"/>
      <color rgb="FFB91C1C"/>
      <sz val="10"/>
    </font>
    <font>
      <name val="Meiryo"/>
      <charset val="1"/>
      <family val="0"/>
      <b val="1"/>
      <color rgb="FFB91C1C"/>
      <sz val="10"/>
    </font>
    <font>
      <name val="Noto Sans CJK SC"/>
      <family val="2"/>
      <b val="1"/>
      <color rgb="FFFFFFFF"/>
      <sz val="11"/>
    </font>
    <font>
      <name val="Noto Sans CJK SC"/>
      <family val="2"/>
      <color rgb="FF0F172A"/>
      <sz val="10"/>
    </font>
    <font>
      <name val="Meiryo"/>
      <charset val="1"/>
      <family val="0"/>
      <b val="1"/>
      <color rgb="FFFFFFFF"/>
      <sz val="11"/>
    </font>
    <font>
      <name val="Meiryo"/>
      <charset val="1"/>
      <family val="0"/>
      <color rgb="FF0F172A"/>
      <sz val="10"/>
    </font>
    <font>
      <name val="Meiryo"/>
      <charset val="1"/>
      <family val="0"/>
      <color rgb="FF0F766E"/>
      <sz val="10"/>
    </font>
    <font>
      <name val="Noto Sans CJK SC"/>
      <family val="2"/>
      <color rgb="FF0F766E"/>
      <sz val="10"/>
    </font>
    <font>
      <name val="Noto Sans CJK SC"/>
      <family val="2"/>
      <b val="1"/>
      <color rgb="FF475569"/>
      <sz val="10"/>
    </font>
    <font>
      <name val="Noto Sans CJK SC"/>
      <family val="2"/>
      <b val="1"/>
      <color rgb="FFFFFFFF"/>
      <sz val="9"/>
    </font>
    <font>
      <name val="Meiryo"/>
      <charset val="1"/>
      <family val="0"/>
      <b val="1"/>
      <color rgb="FFFFFFFF"/>
      <sz val="9"/>
    </font>
    <font>
      <name val="Meiryo"/>
      <charset val="1"/>
      <family val="0"/>
      <color rgb="FF475569"/>
      <sz val="9"/>
    </font>
    <font>
      <name val="Noto Sans CJK SC"/>
      <family val="2"/>
      <color rgb="FF475569"/>
      <sz val="9"/>
    </font>
    <font>
      <name val="Noto Sans CJK SC"/>
      <family val="2"/>
      <b val="1"/>
      <color rgb="FF475569"/>
      <sz val="9"/>
    </font>
    <font>
      <name val="Consolas"/>
      <charset val="1"/>
      <family val="0"/>
      <color rgb="FF334155"/>
      <sz val="9"/>
    </font>
    <font>
      <name val="Noto Sans CJK SC"/>
      <family val="2"/>
      <color rgb="FF334155"/>
      <sz val="9"/>
    </font>
    <font>
      <name val="Noto Sans CJK SC"/>
      <family val="2"/>
      <color rgb="FFCBD5E1"/>
      <sz val="8"/>
    </font>
    <font>
      <name val="Meiryo"/>
      <charset val="1"/>
      <family val="0"/>
      <color rgb="FFCBD5E1"/>
      <sz val="8"/>
    </font>
    <font>
      <name val="Meiryo"/>
      <charset val="1"/>
      <family val="0"/>
      <b val="1"/>
      <color rgb="FF475569"/>
      <sz val="9"/>
    </font>
    <font>
      <name val="Noto Sans CJK SC"/>
      <family val="2"/>
      <b val="1"/>
      <color rgb="FF0F766E"/>
      <sz val="10"/>
    </font>
    <font>
      <name val="Noto Sans CJK SC"/>
      <family val="2"/>
      <color rgb="FF94A3B8"/>
      <sz val="8"/>
    </font>
    <font>
      <name val="Noto Sans CJK SC"/>
      <family val="2"/>
      <b val="1"/>
      <color rgb="FFFFFFFF"/>
      <sz val="10"/>
    </font>
    <font>
      <name val="Meiryo"/>
      <charset val="1"/>
      <family val="0"/>
      <b val="1"/>
      <color rgb="FFFFFFFF"/>
      <sz val="10"/>
    </font>
    <font>
      <name val="Noto Sans CJK SC"/>
      <family val="2"/>
      <b val="1"/>
      <color rgb="FF64748B"/>
      <sz val="11"/>
    </font>
    <font>
      <name val="Noto Sans CJK SC"/>
      <family val="2"/>
      <color theme="1"/>
      <sz val="11"/>
    </font>
    <font>
      <name val="Noto Sans CJK SC"/>
      <family val="2"/>
      <b val="1"/>
      <color rgb="FF0F766E"/>
      <sz val="14"/>
    </font>
    <font>
      <name val="Noto Sans CJK SC"/>
      <family val="2"/>
      <color rgb="FF64748B"/>
      <sz val="10"/>
    </font>
    <font>
      <name val="Meiryo"/>
      <b val="1"/>
      <color rgb="000F766E"/>
      <sz val="10"/>
    </font>
    <font>
      <name val="Meiryo"/>
      <b val="1"/>
      <color rgb="00475569"/>
      <sz val="9"/>
    </font>
    <font>
      <name val="Meiryo"/>
      <color rgb="000F172A"/>
      <sz val="10"/>
    </font>
    <font>
      <name val="Meiryo"/>
      <color rgb="00CBD5E1"/>
      <sz val="8"/>
    </font>
    <font>
      <name val="Meiryo"/>
      <color rgb="0094A3B8"/>
      <sz val="8"/>
    </font>
    <font>
      <name val="Meiryo"/>
      <b val="1"/>
      <color rgb="00FFFFFF"/>
      <sz val="11"/>
    </font>
    <font>
      <name val="Meiryo"/>
      <color rgb="0064748B"/>
      <sz val="9"/>
    </font>
    <font>
      <name val="Consolas"/>
      <color rgb="00334155"/>
      <sz val="9"/>
    </font>
  </fonts>
  <fills count="9">
    <fill>
      <patternFill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94A3B8"/>
        <bgColor rgb="FF9999FF"/>
      </patternFill>
    </fill>
    <fill>
      <patternFill patternType="solid">
        <fgColor rgb="FFFFFDF0"/>
        <bgColor rgb="FFFFFFFF"/>
      </patternFill>
    </fill>
    <fill>
      <patternFill patternType="solid">
        <fgColor rgb="FFF1F5F7"/>
        <bgColor rgb="FFFFFDF0"/>
      </patternFill>
    </fill>
    <fill>
      <patternFill patternType="solid">
        <fgColor rgb="FFFFFFFF"/>
        <bgColor rgb="FFFFFDF0"/>
      </patternFill>
    </fill>
    <fill>
      <patternFill patternType="solid">
        <fgColor rgb="00FFFDF0"/>
      </patternFill>
    </fill>
    <fill>
      <patternFill patternType="solid">
        <fgColor rgb="000F766E"/>
      </patternFill>
    </fill>
  </fills>
  <borders count="4">
    <border>
      <left/>
      <right/>
      <top/>
      <bottom/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 style="thin">
        <color rgb="FFDBE3E8"/>
      </left>
      <right style="thin">
        <color rgb="FFDBE3E8"/>
      </right>
      <top style="thin">
        <color rgb="FFDBE3E8"/>
      </top>
      <bottom style="thin">
        <color rgb="FFDBE3E8"/>
      </bottom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6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28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3" fontId="12" fillId="6" borderId="1" applyAlignment="1" pivotButton="0" quotePrefix="0" xfId="0">
      <alignment horizontal="right" vertical="bottom"/>
    </xf>
    <xf numFmtId="3" fontId="12" fillId="5" borderId="1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28" fillId="2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28" fillId="2" borderId="2" applyAlignment="1" pivotButton="0" quotePrefix="0" xfId="0">
      <alignment horizontal="center" vertical="bottom"/>
    </xf>
    <xf numFmtId="0" fontId="12" fillId="0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3" fontId="12" fillId="0" borderId="2" applyAlignment="1" pivotButton="0" quotePrefix="0" xfId="0">
      <alignment horizontal="general" vertical="bottom"/>
    </xf>
    <xf numFmtId="166" fontId="12" fillId="0" borderId="2" applyAlignment="1" pivotButton="0" quotePrefix="0" xfId="0">
      <alignment horizontal="general" vertical="bottom"/>
    </xf>
    <xf numFmtId="0" fontId="12" fillId="5" borderId="2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3" fontId="12" fillId="5" borderId="2" applyAlignment="1" pivotButton="0" quotePrefix="0" xfId="0">
      <alignment horizontal="general" vertical="bottom"/>
    </xf>
    <xf numFmtId="166" fontId="12" fillId="5" borderId="2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bottom"/>
    </xf>
    <xf numFmtId="0" fontId="12" fillId="2" borderId="2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6" fillId="3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39" fillId="8" borderId="0" pivotButton="0" quotePrefix="0" xfId="0"/>
    <xf numFmtId="0" fontId="36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41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34" fillId="0" borderId="0" pivotButton="0" quotePrefix="0" xfId="0"/>
    <xf numFmtId="0" fontId="35" fillId="0" borderId="0" pivotButton="0" quotePrefix="0" xfId="0"/>
    <xf numFmtId="0" fontId="36" fillId="7" borderId="3" pivotButton="0" quotePrefix="0" xfId="0"/>
    <xf numFmtId="0" fontId="20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38" fillId="0" borderId="0" pivotButton="0" quotePrefix="0" xfId="0"/>
    <xf numFmtId="165" fontId="12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28" fillId="2" borderId="1" applyAlignment="1" pivotButton="0" quotePrefix="0" xfId="0">
      <alignment horizontal="center" vertical="center"/>
    </xf>
    <xf numFmtId="0" fontId="37" fillId="7" borderId="3" pivotButton="0" quotePrefix="0" xfId="0"/>
    <xf numFmtId="0" fontId="12" fillId="5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3" fontId="12" fillId="6" borderId="1" applyAlignment="1" pivotButton="0" quotePrefix="0" xfId="0">
      <alignment horizontal="right" vertical="bottom"/>
    </xf>
    <xf numFmtId="3" fontId="12" fillId="5" borderId="1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28" fillId="2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28" fillId="2" borderId="2" applyAlignment="1" pivotButton="0" quotePrefix="0" xfId="0">
      <alignment horizontal="center" vertical="bottom"/>
    </xf>
    <xf numFmtId="0" fontId="12" fillId="0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3" fontId="12" fillId="0" borderId="2" applyAlignment="1" pivotButton="0" quotePrefix="0" xfId="0">
      <alignment horizontal="general" vertical="bottom"/>
    </xf>
    <xf numFmtId="166" fontId="12" fillId="0" borderId="2" applyAlignment="1" pivotButton="0" quotePrefix="0" xfId="0">
      <alignment horizontal="general" vertical="bottom"/>
    </xf>
    <xf numFmtId="0" fontId="12" fillId="5" borderId="2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3" fontId="12" fillId="5" borderId="2" applyAlignment="1" pivotButton="0" quotePrefix="0" xfId="0">
      <alignment horizontal="general" vertical="bottom"/>
    </xf>
    <xf numFmtId="166" fontId="12" fillId="5" borderId="2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bottom"/>
    </xf>
    <xf numFmtId="0" fontId="12" fillId="2" borderId="2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5DDE3"/>
      <rgbColor rgb="FF808080"/>
      <rgbColor rgb="FF9999FF"/>
      <rgbColor rgb="FF993366"/>
      <rgbColor rgb="FFFFFDF0"/>
      <rgbColor rgb="FFF1F5F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3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91C1C"/>
      <rgbColor rgb="FF993366"/>
      <rgbColor rgb="FF475569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G6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100" customWidth="1" style="51" min="2" max="2"/>
    <col width="16" customWidth="1" style="51" min="3" max="7"/>
  </cols>
  <sheetData>
    <row r="1" ht="23.85" customHeight="1" s="52">
      <c r="B1" s="53" t="inlineStr">
        <is>
          <t>看護業務量集計シート（改良版）― 使い方</t>
        </is>
      </c>
    </row>
    <row r="2" ht="15" customHeight="1" s="52">
      <c r="B2" s="54" t="inlineStr">
        <is>
          <t>業務ごとの時間を記録し、AI導入前後の効果測定ベースライン／多職種協働加算のエビデンスに使います。</t>
        </is>
      </c>
    </row>
    <row r="3" ht="15" customHeight="1" s="52">
      <c r="B3" s="55" t="inlineStr">
        <is>
          <t>★ 患者情報は入力しません。記録するのは業務区分・時間・（任意の）備考だけです。担当者は匿名IDで。</t>
        </is>
      </c>
    </row>
    <row r="5" ht="21.75" customHeight="1" s="52">
      <c r="B5" s="56" t="inlineStr">
        <is>
          <t xml:space="preserve">  シート構成</t>
        </is>
      </c>
    </row>
    <row r="6" ht="29.85" customHeight="1" s="52">
      <c r="B6" s="57" t="inlineStr">
        <is>
          <t>① 入力 … ここに記録する（メタ情報＋業務ごとの分数）  ② 定義 … 分類マスタ（編集で分類を変更可）  ③ 集計 … 自動集計（触らない）</t>
        </is>
      </c>
    </row>
    <row r="8" ht="21.75" customHeight="1" s="52">
      <c r="B8" s="58" t="inlineStr">
        <is>
          <t xml:space="preserve">  A. 手入力（マクロなしでも使えます）</t>
        </is>
      </c>
    </row>
    <row r="9" ht="15" customHeight="1" s="52">
      <c r="B9" s="59" t="inlineStr">
        <is>
          <t>1) 上部で 部署・担当者(匿名ID)・勤務帯・日付 を選ぶ（勤務帯を選ぶと勤務時間が自動表示）</t>
        </is>
      </c>
    </row>
    <row r="10" ht="15" customHeight="1" s="52">
      <c r="B10" s="59" t="inlineStr">
        <is>
          <t>2) 各行で 中分類 を選ぶ → 小分類 が自動で絞り込まれる → 選ぶ（大分類は自動表示）</t>
        </is>
      </c>
    </row>
    <row r="11" ht="15" customHeight="1" s="52">
      <c r="B11" s="59" t="inlineStr">
        <is>
          <t>3) 勤務時間内(分)・勤務時間外(分) に分数を入力（計は自動）。備考は任意</t>
        </is>
      </c>
    </row>
    <row r="12" ht="15" customHeight="1" s="52">
      <c r="B12" s="54" t="inlineStr">
        <is>
          <t xml:space="preserve">   例）中分類=間接看護 / 小分類=看護記録 / 勤務時間内=30 / 勤務時間外=0</t>
        </is>
      </c>
    </row>
    <row r="14" ht="21.75" customHeight="1" s="52">
      <c r="B14" s="58" t="inlineStr">
        <is>
          <t xml:space="preserve">  B. ワンタップ記録（マクロ導入後）― おすすめ</t>
        </is>
      </c>
    </row>
    <row r="15" ht="15" customHeight="1" s="52">
      <c r="B15" s="57" t="inlineStr">
        <is>
          <t>「開始」を押した時刻から「切替」「終了」までの経過分を自動計算し、勤務時間内/外に振り分けて1行追加します。</t>
        </is>
      </c>
    </row>
    <row r="16" ht="29.85" customHeight="1" s="52">
      <c r="B16" s="57" t="inlineStr">
        <is>
          <t>手順：右上パネルで 中分類・小分類 を選ぶ →［記録開始］→ 業務が変わったら 分類を選び直して［切替］→ 最後に［記録終了］</t>
        </is>
      </c>
    </row>
    <row r="17" ht="15" customHeight="1" s="52">
      <c r="B17" s="54" t="inlineStr">
        <is>
          <t>「開始/終了」の2度入力や分数の暗算が不要になります（Webアプリの打刻式と同じ考え方）。</t>
        </is>
      </c>
    </row>
    <row r="19" ht="21.75" customHeight="1" s="52">
      <c r="B19" s="56" t="inlineStr">
        <is>
          <t xml:space="preserve">  マクロの導入（1回だけ）</t>
        </is>
      </c>
    </row>
    <row r="20" ht="15" customHeight="1" s="52">
      <c r="B20" s="59" t="inlineStr">
        <is>
          <t>1) このブックを .xlsm（マクロ有効ブック）として保存し直す</t>
        </is>
      </c>
    </row>
    <row r="21" ht="15" customHeight="1" s="52">
      <c r="B21" s="59" t="inlineStr">
        <is>
          <t>2) Alt+F11 → メニュー[ファイル]→[ファイルのインポート] で 看護業務量_マクロ.bas を取り込む</t>
        </is>
      </c>
    </row>
    <row r="22" ht="15" customHeight="1" s="52">
      <c r="B22" s="59" t="inlineStr">
        <is>
          <t>3) Alt+F8 →「初期設定_ボタン作成」を実行 → 入力シートに 開始/切替/終了/クリア/集計へ ボタンが並ぶ</t>
        </is>
      </c>
    </row>
    <row r="23" ht="26.85" customHeight="1" s="52">
      <c r="B23" s="60" t="inlineStr">
        <is>
          <t>4) （任意）中分類を変えたら小分類を自動クリアしたい場合は、使い方シート下部のシートモジュール用コードを 入力シート のコードに貼付</t>
        </is>
      </c>
    </row>
    <row r="24" ht="15" customHeight="1" s="52">
      <c r="B24" s="54" t="inlineStr">
        <is>
          <t>※ 開いたときにセキュリティの警告が出たら［コンテンツの有効化］を押す</t>
        </is>
      </c>
    </row>
    <row r="26" ht="21.75" customHeight="1" s="52">
      <c r="B26" s="56" t="inlineStr">
        <is>
          <t xml:space="preserve">  配布・保管</t>
        </is>
      </c>
    </row>
    <row r="27" ht="15" customHeight="1" s="52">
      <c r="B27" s="57" t="inlineStr">
        <is>
          <t>記録が終わったら、この .xlsm（または .xlsx）ファイルごと集めて集計します。1ファイル＝1人×1勤務が基本。</t>
        </is>
      </c>
    </row>
    <row r="28" ht="15" customHeight="1" s="52">
      <c r="B28" s="61" t="inlineStr">
        <is>
          <t>Web版・ソース一式：https://github.com/katu09161004/nursing-worktime</t>
        </is>
      </c>
    </row>
    <row r="30" ht="15" customHeight="1" s="52">
      <c r="B30" s="62" t="inlineStr">
        <is>
          <t>── 参考：入力例 ──</t>
        </is>
      </c>
    </row>
    <row r="31" ht="15" customHeight="1" s="52">
      <c r="B31" s="63" t="inlineStr">
        <is>
          <t>大分類</t>
        </is>
      </c>
      <c r="C31" s="63" t="inlineStr">
        <is>
          <t>中分類</t>
        </is>
      </c>
      <c r="D31" s="63" t="inlineStr">
        <is>
          <t>小分類</t>
        </is>
      </c>
      <c r="E31" s="63" t="inlineStr">
        <is>
          <t>内(分)</t>
        </is>
      </c>
      <c r="F31" s="63" t="inlineStr">
        <is>
          <t>外(分)</t>
        </is>
      </c>
      <c r="G31" s="63" t="inlineStr">
        <is>
          <t>備考</t>
        </is>
      </c>
    </row>
    <row r="32" ht="15" customHeight="1" s="52">
      <c r="B32" s="64" t="inlineStr">
        <is>
          <t>A 患者中心の看護活動</t>
        </is>
      </c>
      <c r="C32" s="65" t="inlineStr">
        <is>
          <t>間接看護</t>
        </is>
      </c>
      <c r="D32" s="65" t="inlineStr">
        <is>
          <t>看護記録</t>
        </is>
      </c>
      <c r="E32" s="64" t="n">
        <v>30</v>
      </c>
      <c r="F32" s="64" t="n">
        <v>0</v>
      </c>
      <c r="G32" s="65" t="inlineStr">
        <is>
          <t>退院sx2</t>
        </is>
      </c>
    </row>
    <row r="33" ht="15" customHeight="1" s="52">
      <c r="B33" s="64" t="inlineStr">
        <is>
          <t>A 患者中心の看護活動</t>
        </is>
      </c>
      <c r="C33" s="65" t="inlineStr">
        <is>
          <t>直接看護Ⅰ</t>
        </is>
      </c>
      <c r="D33" s="65" t="inlineStr">
        <is>
          <t>測定・観察</t>
        </is>
      </c>
      <c r="E33" s="64" t="n">
        <v>25</v>
      </c>
      <c r="F33" s="64" t="n">
        <v>5</v>
      </c>
      <c r="G33" s="64" t="n"/>
    </row>
    <row r="34" ht="15" customHeight="1" s="52">
      <c r="B34" s="64" t="inlineStr">
        <is>
          <t>B 看護単位中心の活動</t>
        </is>
      </c>
      <c r="C34" s="65" t="inlineStr">
        <is>
          <t>連絡</t>
        </is>
      </c>
      <c r="D34" s="65" t="inlineStr">
        <is>
          <t>電話連絡</t>
        </is>
      </c>
      <c r="E34" s="64" t="n">
        <v>0</v>
      </c>
      <c r="F34" s="64" t="n">
        <v>10</v>
      </c>
      <c r="G34" s="64" t="n"/>
    </row>
    <row r="37" ht="15" customHeight="1" s="52">
      <c r="B37" s="66" t="inlineStr">
        <is>
          <t>── 入力シート用コード（任意・小分類の自動クリア）──</t>
        </is>
      </c>
    </row>
    <row r="38" ht="15" customHeight="1" s="52">
      <c r="B38" s="67" t="inlineStr">
        <is>
          <t>Private Sub Worksheet_Change(ByVal Target As Range)</t>
        </is>
      </c>
    </row>
    <row r="39" ht="15" customHeight="1" s="52">
      <c r="B39" s="67" t="inlineStr">
        <is>
          <t xml:space="preserve">  ' 中分類(B列)を変えたら同じ行の小分類(C列)をクリア</t>
        </is>
      </c>
    </row>
    <row r="40" ht="15" customHeight="1" s="52">
      <c r="B40" s="67" t="inlineStr">
        <is>
          <t xml:space="preserve">  If Not Intersect(Target, Me.Range("B7:B126")) Is Nothing Then</t>
        </is>
      </c>
    </row>
    <row r="41" ht="15" customHeight="1" s="52">
      <c r="B41" s="67" t="inlineStr">
        <is>
          <t xml:space="preserve">    Application.EnableEvents = False</t>
        </is>
      </c>
    </row>
    <row r="42" ht="15" customHeight="1" s="52">
      <c r="B42" s="67" t="inlineStr">
        <is>
          <t xml:space="preserve">    Me.Cells(Target.Row, 3).ClearContents</t>
        </is>
      </c>
    </row>
    <row r="43" ht="15" customHeight="1" s="52">
      <c r="B43" s="67" t="inlineStr">
        <is>
          <t xml:space="preserve">    Application.EnableEvents = True</t>
        </is>
      </c>
    </row>
    <row r="44" ht="15" customHeight="1" s="52">
      <c r="B44" s="67" t="inlineStr">
        <is>
          <t xml:space="preserve">  End If</t>
        </is>
      </c>
    </row>
    <row r="45" ht="15" customHeight="1" s="52">
      <c r="B45" s="67" t="inlineStr">
        <is>
          <t xml:space="preserve">  ' パネルの中分類(J5)を変えたら小分類(J6)をクリア</t>
        </is>
      </c>
    </row>
    <row r="46" ht="15" customHeight="1" s="52">
      <c r="B46" s="67" t="inlineStr">
        <is>
          <t xml:space="preserve">  If Not Intersect(Target, Me.Range("J5")) Is Nothing Then</t>
        </is>
      </c>
    </row>
    <row r="47" ht="15" customHeight="1" s="52">
      <c r="B47" s="67" t="inlineStr">
        <is>
          <t xml:space="preserve">    Application.EnableEvents = False: Me.Range("J6").ClearContents: Application.EnableEvents = True</t>
        </is>
      </c>
    </row>
    <row r="48" ht="15" customHeight="1" s="52">
      <c r="B48" s="67" t="inlineStr">
        <is>
          <t xml:space="preserve">  End If</t>
        </is>
      </c>
    </row>
    <row r="49" ht="15" customHeight="1" s="52">
      <c r="B49" s="67" t="inlineStr">
        <is>
          <t>End Sub</t>
        </is>
      </c>
    </row>
    <row r="51" ht="22" customHeight="1" s="52">
      <c r="B51" s="68" t="inlineStr">
        <is>
          <t xml:space="preserve">  サーバ同期（同じDBに集約・オンライン/オフライン自動切替）</t>
        </is>
      </c>
    </row>
    <row r="52">
      <c r="B52" s="69" t="inlineStr">
        <is>
          <t>入力したデータを、Webアプリと同じデータベース（PostgreSQL）へ送れます。両方で入力しても集計は1つに合算されます。</t>
        </is>
      </c>
    </row>
    <row r="53">
      <c r="B53" s="69" t="inlineStr">
        <is>
          <t>設定：入力シート右の「サーバ同期設定」で APIのURL（例 http://192.168.0.10:8300）を入れ、オンライン同期=ON にする。</t>
        </is>
      </c>
    </row>
    <row r="54">
      <c r="B54" s="69" t="inlineStr">
        <is>
          <t>送信：入力し終えたら［サーバへ送信］ボタン。オンラインなら送信、つながらなければ自動で保留し、次に開いたとき自動で再送します。</t>
        </is>
      </c>
    </row>
    <row r="55">
      <c r="B55" s="69" t="inlineStr">
        <is>
          <t>持ち出し（オフライン）：オンライン同期を OFF にすると送信せず手元だけに保存。戻ったら ON にして［サーバへ送信］。</t>
        </is>
      </c>
    </row>
    <row r="56">
      <c r="B56" s="70" t="inlineStr">
        <is>
          <t>同じ日・同じ担当・同じ勤務帯の再送はサーバ側で置き換えられるので、二重計上されません。</t>
        </is>
      </c>
    </row>
    <row r="58">
      <c r="B58" s="71" t="inlineStr">
        <is>
          <t>── ThisWorkbook 用コード（任意・起動時に未送信を自動送信）──</t>
        </is>
      </c>
    </row>
    <row r="59">
      <c r="B59" s="72" t="inlineStr">
        <is>
          <t>Private Sub Workbook_Open()</t>
        </is>
      </c>
    </row>
    <row r="60">
      <c r="B60" s="72" t="inlineStr">
        <is>
          <t xml:space="preserve">    On Error Resume Next</t>
        </is>
      </c>
    </row>
    <row r="61">
      <c r="B61" s="72" t="inlineStr">
        <is>
          <t xml:space="preserve">    Application.OnTime Now + TimeValue("00:00:02"), "同期_未送信を送る"</t>
        </is>
      </c>
    </row>
    <row r="62">
      <c r="B62" s="72" t="inlineStr">
        <is>
          <t>End Sub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51" min="1" max="1"/>
    <col width="14" customWidth="1" style="51" min="2" max="2"/>
    <col width="22" customWidth="1" style="51" min="3" max="3"/>
    <col width="13" customWidth="1" style="51" min="4" max="5"/>
    <col width="10" customWidth="1" style="51" min="6" max="6"/>
    <col width="18" customWidth="1" style="51" min="7" max="7"/>
    <col width="12" customWidth="1" style="51" min="8" max="8"/>
    <col width="10" customWidth="1" style="51" min="9" max="9"/>
    <col width="16" customWidth="1" style="51" min="10" max="10"/>
    <col width="12" customWidth="1" style="51" min="11" max="11"/>
    <col width="16" customWidth="1" style="52" min="13" max="13"/>
    <col width="22" customWidth="1" style="51" min="14" max="14"/>
  </cols>
  <sheetData>
    <row r="1" ht="19.7" customHeight="1" s="52">
      <c r="A1" s="73" t="inlineStr">
        <is>
          <t>看護業務量集計シート</t>
        </is>
      </c>
      <c r="N1" s="74" t="inlineStr">
        <is>
          <t>開始時刻(内部)</t>
        </is>
      </c>
    </row>
    <row r="2" ht="15" customHeight="1" s="52">
      <c r="A2" s="75" t="inlineStr">
        <is>
          <t>中分類を選ぶと小分類が絞り込まれます。勤務時間内／外に分数を入力してください。</t>
        </is>
      </c>
      <c r="M2" s="76" t="inlineStr">
        <is>
          <t>▼ サーバ同期設定</t>
        </is>
      </c>
    </row>
    <row r="3">
      <c r="M3" s="77" t="inlineStr">
        <is>
          <t>APIのURL</t>
        </is>
      </c>
      <c r="N3" s="78" t="inlineStr">
        <is>
          <t>http://（院内IP）:8300</t>
        </is>
      </c>
    </row>
    <row r="4" ht="15" customHeight="1" s="52">
      <c r="A4" s="79" t="inlineStr">
        <is>
          <t>部署名</t>
        </is>
      </c>
      <c r="B4" s="80" t="n"/>
      <c r="C4" s="79" t="inlineStr">
        <is>
          <t>担当者（匿名ID）</t>
        </is>
      </c>
      <c r="D4" s="80" t="n"/>
      <c r="E4" s="79" t="inlineStr">
        <is>
          <t>勤務帯</t>
        </is>
      </c>
      <c r="F4" s="80" t="n"/>
      <c r="G4" s="79" t="inlineStr">
        <is>
          <t>日付</t>
        </is>
      </c>
      <c r="H4" s="81" t="n"/>
      <c r="I4" s="82" t="inlineStr">
        <is>
          <t>▼ ワンタップ記録（マクロ）</t>
        </is>
      </c>
      <c r="K4" s="83" t="inlineStr">
        <is>
          <t>→ 導入後：開始／切替／終了ボタンで自動記録</t>
        </is>
      </c>
      <c r="M4" s="77" t="inlineStr">
        <is>
          <t>オンライン同期</t>
        </is>
      </c>
      <c r="N4" s="78" t="inlineStr">
        <is>
          <t>ON</t>
        </is>
      </c>
      <c r="O4" s="84" t="inlineStr">
        <is>
          <t>※持ち出し時はOFF（自動でオフライン保留）</t>
        </is>
      </c>
    </row>
    <row r="5" ht="15" customHeight="1" s="52">
      <c r="A5" s="79" t="inlineStr">
        <is>
          <t>勤務時間</t>
        </is>
      </c>
      <c r="B5" s="85">
        <f>IFERROR(VLOOKUP($F$4,定義!$Q:$S,2,FALSE()),"")</f>
        <v/>
      </c>
      <c r="C5" s="86" t="inlineStr">
        <is>
          <t>〜</t>
        </is>
      </c>
      <c r="D5" s="85">
        <f>IFERROR(VLOOKUP($F$4,定義!$Q:$S,3,FALSE()),"")</f>
        <v/>
      </c>
      <c r="E5" s="83" t="inlineStr">
        <is>
          <t>（勤務帯を選ぶと自動表示）</t>
        </is>
      </c>
      <c r="I5" s="79" t="inlineStr">
        <is>
          <t>中分類</t>
        </is>
      </c>
      <c r="J5" s="80" t="n"/>
      <c r="M5" s="77" t="inlineStr">
        <is>
          <t>状態</t>
        </is>
      </c>
      <c r="N5" s="78" t="inlineStr">
        <is>
          <t>—</t>
        </is>
      </c>
    </row>
    <row r="6" ht="15" customHeight="1" s="52">
      <c r="A6" s="87" t="inlineStr">
        <is>
          <t>大分類</t>
        </is>
      </c>
      <c r="B6" s="87" t="inlineStr">
        <is>
          <t>中分類</t>
        </is>
      </c>
      <c r="C6" s="87" t="inlineStr">
        <is>
          <t>小分類</t>
        </is>
      </c>
      <c r="D6" s="87" t="inlineStr">
        <is>
          <t>勤務時間内(分)</t>
        </is>
      </c>
      <c r="E6" s="87" t="inlineStr">
        <is>
          <t>勤務時間外(分)</t>
        </is>
      </c>
      <c r="F6" s="87" t="inlineStr">
        <is>
          <t>計(分)</t>
        </is>
      </c>
      <c r="G6" s="87" t="inlineStr">
        <is>
          <t>備考</t>
        </is>
      </c>
      <c r="I6" s="79" t="inlineStr">
        <is>
          <t>小分類</t>
        </is>
      </c>
      <c r="J6" s="80" t="n"/>
      <c r="M6" s="77" t="inlineStr">
        <is>
          <t>未送信フラグ(内部)</t>
        </is>
      </c>
      <c r="N6" s="88" t="inlineStr">
        <is>
          <t>0</t>
        </is>
      </c>
    </row>
    <row r="7" ht="15" customHeight="1" s="52">
      <c r="A7" s="89">
        <f>IFERROR(IF($B7="","",VLOOKUP($B7,定義!$A:$B,2,FALSE())),"")</f>
        <v/>
      </c>
      <c r="B7" s="90" t="n"/>
      <c r="C7" s="90" t="n"/>
      <c r="D7" s="91" t="n"/>
      <c r="E7" s="91" t="n"/>
      <c r="F7" s="92">
        <f>IF(COUNT($D7:$E7)=0,"",SUM($D7:$E7))</f>
        <v/>
      </c>
      <c r="G7" s="90" t="n"/>
      <c r="I7" s="79" t="inlineStr">
        <is>
          <t>状態</t>
        </is>
      </c>
      <c r="J7" s="93" t="inlineStr">
        <is>
          <t>停止中</t>
        </is>
      </c>
    </row>
    <row r="8" ht="15" customHeight="1" s="52">
      <c r="A8" s="89">
        <f>IFERROR(IF($B8="","",VLOOKUP($B8,定義!$A:$B,2,FALSE())),"")</f>
        <v/>
      </c>
      <c r="B8" s="90" t="n"/>
      <c r="C8" s="90" t="n"/>
      <c r="D8" s="91" t="n"/>
      <c r="E8" s="91" t="n"/>
      <c r="F8" s="92">
        <f>IF(COUNT($D8:$E8)=0,"",SUM($D8:$E8))</f>
        <v/>
      </c>
      <c r="G8" s="90" t="n"/>
    </row>
    <row r="9" ht="15" customHeight="1" s="52">
      <c r="A9" s="89">
        <f>IFERROR(IF($B9="","",VLOOKUP($B9,定義!$A:$B,2,FALSE())),"")</f>
        <v/>
      </c>
      <c r="B9" s="90" t="n"/>
      <c r="C9" s="90" t="n"/>
      <c r="D9" s="91" t="n"/>
      <c r="E9" s="91" t="n"/>
      <c r="F9" s="92">
        <f>IF(COUNT($D9:$E9)=0,"",SUM($D9:$E9))</f>
        <v/>
      </c>
      <c r="G9" s="90" t="n"/>
    </row>
    <row r="10" ht="15" customHeight="1" s="52">
      <c r="A10" s="89">
        <f>IFERROR(IF($B10="","",VLOOKUP($B10,定義!$A:$B,2,FALSE())),"")</f>
        <v/>
      </c>
      <c r="B10" s="90" t="n"/>
      <c r="C10" s="90" t="n"/>
      <c r="D10" s="91" t="n"/>
      <c r="E10" s="91" t="n"/>
      <c r="F10" s="92">
        <f>IF(COUNT($D10:$E10)=0,"",SUM($D10:$E10))</f>
        <v/>
      </c>
      <c r="G10" s="90" t="n"/>
    </row>
    <row r="11" ht="15" customHeight="1" s="52">
      <c r="A11" s="89">
        <f>IFERROR(IF($B11="","",VLOOKUP($B11,定義!$A:$B,2,FALSE())),"")</f>
        <v/>
      </c>
      <c r="B11" s="90" t="n"/>
      <c r="C11" s="90" t="n"/>
      <c r="D11" s="91" t="n"/>
      <c r="E11" s="91" t="n"/>
      <c r="F11" s="92">
        <f>IF(COUNT($D11:$E11)=0,"",SUM($D11:$E11))</f>
        <v/>
      </c>
      <c r="G11" s="90" t="n"/>
    </row>
    <row r="12" ht="15" customHeight="1" s="52">
      <c r="A12" s="89">
        <f>IFERROR(IF($B12="","",VLOOKUP($B12,定義!$A:$B,2,FALSE())),"")</f>
        <v/>
      </c>
      <c r="B12" s="90" t="n"/>
      <c r="C12" s="90" t="n"/>
      <c r="D12" s="91" t="n"/>
      <c r="E12" s="91" t="n"/>
      <c r="F12" s="92">
        <f>IF(COUNT($D12:$E12)=0,"",SUM($D12:$E12))</f>
        <v/>
      </c>
      <c r="G12" s="90" t="n"/>
    </row>
    <row r="13" ht="15" customHeight="1" s="52">
      <c r="A13" s="89">
        <f>IFERROR(IF($B13="","",VLOOKUP($B13,定義!$A:$B,2,FALSE())),"")</f>
        <v/>
      </c>
      <c r="B13" s="90" t="n"/>
      <c r="C13" s="90" t="n"/>
      <c r="D13" s="91" t="n"/>
      <c r="E13" s="91" t="n"/>
      <c r="F13" s="92">
        <f>IF(COUNT($D13:$E13)=0,"",SUM($D13:$E13))</f>
        <v/>
      </c>
      <c r="G13" s="90" t="n"/>
    </row>
    <row r="14" ht="15" customHeight="1" s="52">
      <c r="A14" s="89">
        <f>IFERROR(IF($B14="","",VLOOKUP($B14,定義!$A:$B,2,FALSE())),"")</f>
        <v/>
      </c>
      <c r="B14" s="90" t="n"/>
      <c r="C14" s="90" t="n"/>
      <c r="D14" s="91" t="n"/>
      <c r="E14" s="91" t="n"/>
      <c r="F14" s="92">
        <f>IF(COUNT($D14:$E14)=0,"",SUM($D14:$E14))</f>
        <v/>
      </c>
      <c r="G14" s="90" t="n"/>
    </row>
    <row r="15" ht="15" customHeight="1" s="52">
      <c r="A15" s="89">
        <f>IFERROR(IF($B15="","",VLOOKUP($B15,定義!$A:$B,2,FALSE())),"")</f>
        <v/>
      </c>
      <c r="B15" s="90" t="n"/>
      <c r="C15" s="90" t="n"/>
      <c r="D15" s="91" t="n"/>
      <c r="E15" s="91" t="n"/>
      <c r="F15" s="92">
        <f>IF(COUNT($D15:$E15)=0,"",SUM($D15:$E15))</f>
        <v/>
      </c>
      <c r="G15" s="90" t="n"/>
    </row>
    <row r="16" ht="15" customHeight="1" s="52">
      <c r="A16" s="89">
        <f>IFERROR(IF($B16="","",VLOOKUP($B16,定義!$A:$B,2,FALSE())),"")</f>
        <v/>
      </c>
      <c r="B16" s="90" t="n"/>
      <c r="C16" s="90" t="n"/>
      <c r="D16" s="91" t="n"/>
      <c r="E16" s="91" t="n"/>
      <c r="F16" s="92">
        <f>IF(COUNT($D16:$E16)=0,"",SUM($D16:$E16))</f>
        <v/>
      </c>
      <c r="G16" s="90" t="n"/>
    </row>
    <row r="17" ht="15" customHeight="1" s="52">
      <c r="A17" s="89">
        <f>IFERROR(IF($B17="","",VLOOKUP($B17,定義!$A:$B,2,FALSE())),"")</f>
        <v/>
      </c>
      <c r="B17" s="90" t="n"/>
      <c r="C17" s="90" t="n"/>
      <c r="D17" s="91" t="n"/>
      <c r="E17" s="91" t="n"/>
      <c r="F17" s="92">
        <f>IF(COUNT($D17:$E17)=0,"",SUM($D17:$E17))</f>
        <v/>
      </c>
      <c r="G17" s="90" t="n"/>
    </row>
    <row r="18" ht="15" customHeight="1" s="52">
      <c r="A18" s="89">
        <f>IFERROR(IF($B18="","",VLOOKUP($B18,定義!$A:$B,2,FALSE())),"")</f>
        <v/>
      </c>
      <c r="B18" s="90" t="n"/>
      <c r="C18" s="90" t="n"/>
      <c r="D18" s="91" t="n"/>
      <c r="E18" s="91" t="n"/>
      <c r="F18" s="92">
        <f>IF(COUNT($D18:$E18)=0,"",SUM($D18:$E18))</f>
        <v/>
      </c>
      <c r="G18" s="90" t="n"/>
    </row>
    <row r="19" ht="15" customHeight="1" s="52">
      <c r="A19" s="89">
        <f>IFERROR(IF($B19="","",VLOOKUP($B19,定義!$A:$B,2,FALSE())),"")</f>
        <v/>
      </c>
      <c r="B19" s="90" t="n"/>
      <c r="C19" s="90" t="n"/>
      <c r="D19" s="91" t="n"/>
      <c r="E19" s="91" t="n"/>
      <c r="F19" s="92">
        <f>IF(COUNT($D19:$E19)=0,"",SUM($D19:$E19))</f>
        <v/>
      </c>
      <c r="G19" s="90" t="n"/>
    </row>
    <row r="20" ht="15" customHeight="1" s="52">
      <c r="A20" s="89">
        <f>IFERROR(IF($B20="","",VLOOKUP($B20,定義!$A:$B,2,FALSE())),"")</f>
        <v/>
      </c>
      <c r="B20" s="90" t="n"/>
      <c r="C20" s="90" t="n"/>
      <c r="D20" s="91" t="n"/>
      <c r="E20" s="91" t="n"/>
      <c r="F20" s="92">
        <f>IF(COUNT($D20:$E20)=0,"",SUM($D20:$E20))</f>
        <v/>
      </c>
      <c r="G20" s="90" t="n"/>
    </row>
    <row r="21" ht="15" customHeight="1" s="52">
      <c r="A21" s="89">
        <f>IFERROR(IF($B21="","",VLOOKUP($B21,定義!$A:$B,2,FALSE())),"")</f>
        <v/>
      </c>
      <c r="B21" s="90" t="n"/>
      <c r="C21" s="90" t="n"/>
      <c r="D21" s="91" t="n"/>
      <c r="E21" s="91" t="n"/>
      <c r="F21" s="92">
        <f>IF(COUNT($D21:$E21)=0,"",SUM($D21:$E21))</f>
        <v/>
      </c>
      <c r="G21" s="90" t="n"/>
    </row>
    <row r="22" ht="15" customHeight="1" s="52">
      <c r="A22" s="89">
        <f>IFERROR(IF($B22="","",VLOOKUP($B22,定義!$A:$B,2,FALSE())),"")</f>
        <v/>
      </c>
      <c r="B22" s="90" t="n"/>
      <c r="C22" s="90" t="n"/>
      <c r="D22" s="91" t="n"/>
      <c r="E22" s="91" t="n"/>
      <c r="F22" s="92">
        <f>IF(COUNT($D22:$E22)=0,"",SUM($D22:$E22))</f>
        <v/>
      </c>
      <c r="G22" s="90" t="n"/>
    </row>
    <row r="23" ht="15" customHeight="1" s="52">
      <c r="A23" s="89">
        <f>IFERROR(IF($B23="","",VLOOKUP($B23,定義!$A:$B,2,FALSE())),"")</f>
        <v/>
      </c>
      <c r="B23" s="90" t="n"/>
      <c r="C23" s="90" t="n"/>
      <c r="D23" s="91" t="n"/>
      <c r="E23" s="91" t="n"/>
      <c r="F23" s="92">
        <f>IF(COUNT($D23:$E23)=0,"",SUM($D23:$E23))</f>
        <v/>
      </c>
      <c r="G23" s="90" t="n"/>
    </row>
    <row r="24" ht="15" customHeight="1" s="52">
      <c r="A24" s="89">
        <f>IFERROR(IF($B24="","",VLOOKUP($B24,定義!$A:$B,2,FALSE())),"")</f>
        <v/>
      </c>
      <c r="B24" s="90" t="n"/>
      <c r="C24" s="90" t="n"/>
      <c r="D24" s="91" t="n"/>
      <c r="E24" s="91" t="n"/>
      <c r="F24" s="92">
        <f>IF(COUNT($D24:$E24)=0,"",SUM($D24:$E24))</f>
        <v/>
      </c>
      <c r="G24" s="90" t="n"/>
    </row>
    <row r="25" ht="15" customHeight="1" s="52">
      <c r="A25" s="89">
        <f>IFERROR(IF($B25="","",VLOOKUP($B25,定義!$A:$B,2,FALSE())),"")</f>
        <v/>
      </c>
      <c r="B25" s="90" t="n"/>
      <c r="C25" s="90" t="n"/>
      <c r="D25" s="91" t="n"/>
      <c r="E25" s="91" t="n"/>
      <c r="F25" s="92">
        <f>IF(COUNT($D25:$E25)=0,"",SUM($D25:$E25))</f>
        <v/>
      </c>
      <c r="G25" s="90" t="n"/>
    </row>
    <row r="26" ht="15" customHeight="1" s="52">
      <c r="A26" s="89">
        <f>IFERROR(IF($B26="","",VLOOKUP($B26,定義!$A:$B,2,FALSE())),"")</f>
        <v/>
      </c>
      <c r="B26" s="90" t="n"/>
      <c r="C26" s="90" t="n"/>
      <c r="D26" s="91" t="n"/>
      <c r="E26" s="91" t="n"/>
      <c r="F26" s="92">
        <f>IF(COUNT($D26:$E26)=0,"",SUM($D26:$E26))</f>
        <v/>
      </c>
      <c r="G26" s="90" t="n"/>
    </row>
    <row r="27" ht="15" customHeight="1" s="52">
      <c r="A27" s="89">
        <f>IFERROR(IF($B27="","",VLOOKUP($B27,定義!$A:$B,2,FALSE())),"")</f>
        <v/>
      </c>
      <c r="B27" s="90" t="n"/>
      <c r="C27" s="90" t="n"/>
      <c r="D27" s="91" t="n"/>
      <c r="E27" s="91" t="n"/>
      <c r="F27" s="92">
        <f>IF(COUNT($D27:$E27)=0,"",SUM($D27:$E27))</f>
        <v/>
      </c>
      <c r="G27" s="90" t="n"/>
    </row>
    <row r="28" ht="15" customHeight="1" s="52">
      <c r="A28" s="89">
        <f>IFERROR(IF($B28="","",VLOOKUP($B28,定義!$A:$B,2,FALSE())),"")</f>
        <v/>
      </c>
      <c r="B28" s="90" t="n"/>
      <c r="C28" s="90" t="n"/>
      <c r="D28" s="91" t="n"/>
      <c r="E28" s="91" t="n"/>
      <c r="F28" s="92">
        <f>IF(COUNT($D28:$E28)=0,"",SUM($D28:$E28))</f>
        <v/>
      </c>
      <c r="G28" s="90" t="n"/>
    </row>
    <row r="29" ht="15" customHeight="1" s="52">
      <c r="A29" s="89">
        <f>IFERROR(IF($B29="","",VLOOKUP($B29,定義!$A:$B,2,FALSE())),"")</f>
        <v/>
      </c>
      <c r="B29" s="90" t="n"/>
      <c r="C29" s="90" t="n"/>
      <c r="D29" s="91" t="n"/>
      <c r="E29" s="91" t="n"/>
      <c r="F29" s="92">
        <f>IF(COUNT($D29:$E29)=0,"",SUM($D29:$E29))</f>
        <v/>
      </c>
      <c r="G29" s="90" t="n"/>
    </row>
    <row r="30" ht="15" customHeight="1" s="52">
      <c r="A30" s="89">
        <f>IFERROR(IF($B30="","",VLOOKUP($B30,定義!$A:$B,2,FALSE())),"")</f>
        <v/>
      </c>
      <c r="B30" s="90" t="n"/>
      <c r="C30" s="90" t="n"/>
      <c r="D30" s="91" t="n"/>
      <c r="E30" s="91" t="n"/>
      <c r="F30" s="92">
        <f>IF(COUNT($D30:$E30)=0,"",SUM($D30:$E30))</f>
        <v/>
      </c>
      <c r="G30" s="90" t="n"/>
    </row>
    <row r="31" ht="15" customHeight="1" s="52">
      <c r="A31" s="89">
        <f>IFERROR(IF($B31="","",VLOOKUP($B31,定義!$A:$B,2,FALSE())),"")</f>
        <v/>
      </c>
      <c r="B31" s="90" t="n"/>
      <c r="C31" s="90" t="n"/>
      <c r="D31" s="91" t="n"/>
      <c r="E31" s="91" t="n"/>
      <c r="F31" s="92">
        <f>IF(COUNT($D31:$E31)=0,"",SUM($D31:$E31))</f>
        <v/>
      </c>
      <c r="G31" s="90" t="n"/>
    </row>
    <row r="32" ht="15" customHeight="1" s="52">
      <c r="A32" s="89">
        <f>IFERROR(IF($B32="","",VLOOKUP($B32,定義!$A:$B,2,FALSE())),"")</f>
        <v/>
      </c>
      <c r="B32" s="90" t="n"/>
      <c r="C32" s="90" t="n"/>
      <c r="D32" s="91" t="n"/>
      <c r="E32" s="91" t="n"/>
      <c r="F32" s="92">
        <f>IF(COUNT($D32:$E32)=0,"",SUM($D32:$E32))</f>
        <v/>
      </c>
      <c r="G32" s="90" t="n"/>
    </row>
    <row r="33" ht="15" customHeight="1" s="52">
      <c r="A33" s="89">
        <f>IFERROR(IF($B33="","",VLOOKUP($B33,定義!$A:$B,2,FALSE())),"")</f>
        <v/>
      </c>
      <c r="B33" s="90" t="n"/>
      <c r="C33" s="90" t="n"/>
      <c r="D33" s="91" t="n"/>
      <c r="E33" s="91" t="n"/>
      <c r="F33" s="92">
        <f>IF(COUNT($D33:$E33)=0,"",SUM($D33:$E33))</f>
        <v/>
      </c>
      <c r="G33" s="90" t="n"/>
    </row>
    <row r="34" ht="15" customHeight="1" s="52">
      <c r="A34" s="89">
        <f>IFERROR(IF($B34="","",VLOOKUP($B34,定義!$A:$B,2,FALSE())),"")</f>
        <v/>
      </c>
      <c r="B34" s="90" t="n"/>
      <c r="C34" s="90" t="n"/>
      <c r="D34" s="91" t="n"/>
      <c r="E34" s="91" t="n"/>
      <c r="F34" s="92">
        <f>IF(COUNT($D34:$E34)=0,"",SUM($D34:$E34))</f>
        <v/>
      </c>
      <c r="G34" s="90" t="n"/>
    </row>
    <row r="35" ht="15" customHeight="1" s="52">
      <c r="A35" s="89">
        <f>IFERROR(IF($B35="","",VLOOKUP($B35,定義!$A:$B,2,FALSE())),"")</f>
        <v/>
      </c>
      <c r="B35" s="90" t="n"/>
      <c r="C35" s="90" t="n"/>
      <c r="D35" s="91" t="n"/>
      <c r="E35" s="91" t="n"/>
      <c r="F35" s="92">
        <f>IF(COUNT($D35:$E35)=0,"",SUM($D35:$E35))</f>
        <v/>
      </c>
      <c r="G35" s="90" t="n"/>
    </row>
    <row r="36" ht="15" customHeight="1" s="52">
      <c r="A36" s="89">
        <f>IFERROR(IF($B36="","",VLOOKUP($B36,定義!$A:$B,2,FALSE())),"")</f>
        <v/>
      </c>
      <c r="B36" s="90" t="n"/>
      <c r="C36" s="90" t="n"/>
      <c r="D36" s="91" t="n"/>
      <c r="E36" s="91" t="n"/>
      <c r="F36" s="92">
        <f>IF(COUNT($D36:$E36)=0,"",SUM($D36:$E36))</f>
        <v/>
      </c>
      <c r="G36" s="90" t="n"/>
    </row>
    <row r="37" ht="15" customHeight="1" s="52">
      <c r="A37" s="89">
        <f>IFERROR(IF($B37="","",VLOOKUP($B37,定義!$A:$B,2,FALSE())),"")</f>
        <v/>
      </c>
      <c r="B37" s="90" t="n"/>
      <c r="C37" s="90" t="n"/>
      <c r="D37" s="91" t="n"/>
      <c r="E37" s="91" t="n"/>
      <c r="F37" s="92">
        <f>IF(COUNT($D37:$E37)=0,"",SUM($D37:$E37))</f>
        <v/>
      </c>
      <c r="G37" s="90" t="n"/>
    </row>
    <row r="38" ht="15" customHeight="1" s="52">
      <c r="A38" s="89">
        <f>IFERROR(IF($B38="","",VLOOKUP($B38,定義!$A:$B,2,FALSE())),"")</f>
        <v/>
      </c>
      <c r="B38" s="90" t="n"/>
      <c r="C38" s="90" t="n"/>
      <c r="D38" s="91" t="n"/>
      <c r="E38" s="91" t="n"/>
      <c r="F38" s="92">
        <f>IF(COUNT($D38:$E38)=0,"",SUM($D38:$E38))</f>
        <v/>
      </c>
      <c r="G38" s="90" t="n"/>
    </row>
    <row r="39" ht="15" customHeight="1" s="52">
      <c r="A39" s="89">
        <f>IFERROR(IF($B39="","",VLOOKUP($B39,定義!$A:$B,2,FALSE())),"")</f>
        <v/>
      </c>
      <c r="B39" s="90" t="n"/>
      <c r="C39" s="90" t="n"/>
      <c r="D39" s="91" t="n"/>
      <c r="E39" s="91" t="n"/>
      <c r="F39" s="92">
        <f>IF(COUNT($D39:$E39)=0,"",SUM($D39:$E39))</f>
        <v/>
      </c>
      <c r="G39" s="90" t="n"/>
    </row>
    <row r="40" ht="15" customHeight="1" s="52">
      <c r="A40" s="89">
        <f>IFERROR(IF($B40="","",VLOOKUP($B40,定義!$A:$B,2,FALSE())),"")</f>
        <v/>
      </c>
      <c r="B40" s="90" t="n"/>
      <c r="C40" s="90" t="n"/>
      <c r="D40" s="91" t="n"/>
      <c r="E40" s="91" t="n"/>
      <c r="F40" s="92">
        <f>IF(COUNT($D40:$E40)=0,"",SUM($D40:$E40))</f>
        <v/>
      </c>
      <c r="G40" s="90" t="n"/>
    </row>
    <row r="41" ht="15" customHeight="1" s="52">
      <c r="A41" s="89">
        <f>IFERROR(IF($B41="","",VLOOKUP($B41,定義!$A:$B,2,FALSE())),"")</f>
        <v/>
      </c>
      <c r="B41" s="90" t="n"/>
      <c r="C41" s="90" t="n"/>
      <c r="D41" s="91" t="n"/>
      <c r="E41" s="91" t="n"/>
      <c r="F41" s="92">
        <f>IF(COUNT($D41:$E41)=0,"",SUM($D41:$E41))</f>
        <v/>
      </c>
      <c r="G41" s="90" t="n"/>
    </row>
    <row r="42" ht="15" customHeight="1" s="52">
      <c r="A42" s="89">
        <f>IFERROR(IF($B42="","",VLOOKUP($B42,定義!$A:$B,2,FALSE())),"")</f>
        <v/>
      </c>
      <c r="B42" s="90" t="n"/>
      <c r="C42" s="90" t="n"/>
      <c r="D42" s="91" t="n"/>
      <c r="E42" s="91" t="n"/>
      <c r="F42" s="92">
        <f>IF(COUNT($D42:$E42)=0,"",SUM($D42:$E42))</f>
        <v/>
      </c>
      <c r="G42" s="90" t="n"/>
    </row>
    <row r="43" ht="15" customHeight="1" s="52">
      <c r="A43" s="89">
        <f>IFERROR(IF($B43="","",VLOOKUP($B43,定義!$A:$B,2,FALSE())),"")</f>
        <v/>
      </c>
      <c r="B43" s="90" t="n"/>
      <c r="C43" s="90" t="n"/>
      <c r="D43" s="91" t="n"/>
      <c r="E43" s="91" t="n"/>
      <c r="F43" s="92">
        <f>IF(COUNT($D43:$E43)=0,"",SUM($D43:$E43))</f>
        <v/>
      </c>
      <c r="G43" s="90" t="n"/>
    </row>
    <row r="44" ht="15" customHeight="1" s="52">
      <c r="A44" s="89">
        <f>IFERROR(IF($B44="","",VLOOKUP($B44,定義!$A:$B,2,FALSE())),"")</f>
        <v/>
      </c>
      <c r="B44" s="90" t="n"/>
      <c r="C44" s="90" t="n"/>
      <c r="D44" s="91" t="n"/>
      <c r="E44" s="91" t="n"/>
      <c r="F44" s="92">
        <f>IF(COUNT($D44:$E44)=0,"",SUM($D44:$E44))</f>
        <v/>
      </c>
      <c r="G44" s="90" t="n"/>
    </row>
    <row r="45" ht="15" customHeight="1" s="52">
      <c r="A45" s="89">
        <f>IFERROR(IF($B45="","",VLOOKUP($B45,定義!$A:$B,2,FALSE())),"")</f>
        <v/>
      </c>
      <c r="B45" s="90" t="n"/>
      <c r="C45" s="90" t="n"/>
      <c r="D45" s="91" t="n"/>
      <c r="E45" s="91" t="n"/>
      <c r="F45" s="92">
        <f>IF(COUNT($D45:$E45)=0,"",SUM($D45:$E45))</f>
        <v/>
      </c>
      <c r="G45" s="90" t="n"/>
    </row>
    <row r="46" ht="15" customHeight="1" s="52">
      <c r="A46" s="89">
        <f>IFERROR(IF($B46="","",VLOOKUP($B46,定義!$A:$B,2,FALSE())),"")</f>
        <v/>
      </c>
      <c r="B46" s="90" t="n"/>
      <c r="C46" s="90" t="n"/>
      <c r="D46" s="91" t="n"/>
      <c r="E46" s="91" t="n"/>
      <c r="F46" s="92">
        <f>IF(COUNT($D46:$E46)=0,"",SUM($D46:$E46))</f>
        <v/>
      </c>
      <c r="G46" s="90" t="n"/>
    </row>
    <row r="47" ht="15" customHeight="1" s="52">
      <c r="A47" s="89">
        <f>IFERROR(IF($B47="","",VLOOKUP($B47,定義!$A:$B,2,FALSE())),"")</f>
        <v/>
      </c>
      <c r="B47" s="90" t="n"/>
      <c r="C47" s="90" t="n"/>
      <c r="D47" s="91" t="n"/>
      <c r="E47" s="91" t="n"/>
      <c r="F47" s="92">
        <f>IF(COUNT($D47:$E47)=0,"",SUM($D47:$E47))</f>
        <v/>
      </c>
      <c r="G47" s="90" t="n"/>
    </row>
    <row r="48" ht="15" customHeight="1" s="52">
      <c r="A48" s="89">
        <f>IFERROR(IF($B48="","",VLOOKUP($B48,定義!$A:$B,2,FALSE())),"")</f>
        <v/>
      </c>
      <c r="B48" s="90" t="n"/>
      <c r="C48" s="90" t="n"/>
      <c r="D48" s="91" t="n"/>
      <c r="E48" s="91" t="n"/>
      <c r="F48" s="92">
        <f>IF(COUNT($D48:$E48)=0,"",SUM($D48:$E48))</f>
        <v/>
      </c>
      <c r="G48" s="90" t="n"/>
    </row>
    <row r="49" ht="15" customHeight="1" s="52">
      <c r="A49" s="89">
        <f>IFERROR(IF($B49="","",VLOOKUP($B49,定義!$A:$B,2,FALSE())),"")</f>
        <v/>
      </c>
      <c r="B49" s="90" t="n"/>
      <c r="C49" s="90" t="n"/>
      <c r="D49" s="91" t="n"/>
      <c r="E49" s="91" t="n"/>
      <c r="F49" s="92">
        <f>IF(COUNT($D49:$E49)=0,"",SUM($D49:$E49))</f>
        <v/>
      </c>
      <c r="G49" s="90" t="n"/>
    </row>
    <row r="50" ht="15" customHeight="1" s="52">
      <c r="A50" s="89">
        <f>IFERROR(IF($B50="","",VLOOKUP($B50,定義!$A:$B,2,FALSE())),"")</f>
        <v/>
      </c>
      <c r="B50" s="90" t="n"/>
      <c r="C50" s="90" t="n"/>
      <c r="D50" s="91" t="n"/>
      <c r="E50" s="91" t="n"/>
      <c r="F50" s="92">
        <f>IF(COUNT($D50:$E50)=0,"",SUM($D50:$E50))</f>
        <v/>
      </c>
      <c r="G50" s="90" t="n"/>
    </row>
    <row r="51" ht="15" customHeight="1" s="52">
      <c r="A51" s="89">
        <f>IFERROR(IF($B51="","",VLOOKUP($B51,定義!$A:$B,2,FALSE())),"")</f>
        <v/>
      </c>
      <c r="B51" s="90" t="n"/>
      <c r="C51" s="90" t="n"/>
      <c r="D51" s="91" t="n"/>
      <c r="E51" s="91" t="n"/>
      <c r="F51" s="92">
        <f>IF(COUNT($D51:$E51)=0,"",SUM($D51:$E51))</f>
        <v/>
      </c>
      <c r="G51" s="90" t="n"/>
    </row>
    <row r="52" ht="15" customHeight="1" s="52">
      <c r="A52" s="89">
        <f>IFERROR(IF($B52="","",VLOOKUP($B52,定義!$A:$B,2,FALSE())),"")</f>
        <v/>
      </c>
      <c r="B52" s="90" t="n"/>
      <c r="C52" s="90" t="n"/>
      <c r="D52" s="91" t="n"/>
      <c r="E52" s="91" t="n"/>
      <c r="F52" s="92">
        <f>IF(COUNT($D52:$E52)=0,"",SUM($D52:$E52))</f>
        <v/>
      </c>
      <c r="G52" s="90" t="n"/>
    </row>
    <row r="53" ht="15" customHeight="1" s="52">
      <c r="A53" s="89">
        <f>IFERROR(IF($B53="","",VLOOKUP($B53,定義!$A:$B,2,FALSE())),"")</f>
        <v/>
      </c>
      <c r="B53" s="90" t="n"/>
      <c r="C53" s="90" t="n"/>
      <c r="D53" s="91" t="n"/>
      <c r="E53" s="91" t="n"/>
      <c r="F53" s="92">
        <f>IF(COUNT($D53:$E53)=0,"",SUM($D53:$E53))</f>
        <v/>
      </c>
      <c r="G53" s="90" t="n"/>
    </row>
    <row r="54" ht="15" customHeight="1" s="52">
      <c r="A54" s="89">
        <f>IFERROR(IF($B54="","",VLOOKUP($B54,定義!$A:$B,2,FALSE())),"")</f>
        <v/>
      </c>
      <c r="B54" s="90" t="n"/>
      <c r="C54" s="90" t="n"/>
      <c r="D54" s="91" t="n"/>
      <c r="E54" s="91" t="n"/>
      <c r="F54" s="92">
        <f>IF(COUNT($D54:$E54)=0,"",SUM($D54:$E54))</f>
        <v/>
      </c>
      <c r="G54" s="90" t="n"/>
    </row>
    <row r="55" ht="15" customHeight="1" s="52">
      <c r="A55" s="89">
        <f>IFERROR(IF($B55="","",VLOOKUP($B55,定義!$A:$B,2,FALSE())),"")</f>
        <v/>
      </c>
      <c r="B55" s="90" t="n"/>
      <c r="C55" s="90" t="n"/>
      <c r="D55" s="91" t="n"/>
      <c r="E55" s="91" t="n"/>
      <c r="F55" s="92">
        <f>IF(COUNT($D55:$E55)=0,"",SUM($D55:$E55))</f>
        <v/>
      </c>
      <c r="G55" s="90" t="n"/>
    </row>
    <row r="56" ht="15" customHeight="1" s="52">
      <c r="A56" s="89">
        <f>IFERROR(IF($B56="","",VLOOKUP($B56,定義!$A:$B,2,FALSE())),"")</f>
        <v/>
      </c>
      <c r="B56" s="90" t="n"/>
      <c r="C56" s="90" t="n"/>
      <c r="D56" s="91" t="n"/>
      <c r="E56" s="91" t="n"/>
      <c r="F56" s="92">
        <f>IF(COUNT($D56:$E56)=0,"",SUM($D56:$E56))</f>
        <v/>
      </c>
      <c r="G56" s="90" t="n"/>
    </row>
    <row r="57" ht="15" customHeight="1" s="52">
      <c r="A57" s="89">
        <f>IFERROR(IF($B57="","",VLOOKUP($B57,定義!$A:$B,2,FALSE())),"")</f>
        <v/>
      </c>
      <c r="B57" s="90" t="n"/>
      <c r="C57" s="90" t="n"/>
      <c r="D57" s="91" t="n"/>
      <c r="E57" s="91" t="n"/>
      <c r="F57" s="92">
        <f>IF(COUNT($D57:$E57)=0,"",SUM($D57:$E57))</f>
        <v/>
      </c>
      <c r="G57" s="90" t="n"/>
    </row>
    <row r="58" ht="15" customHeight="1" s="52">
      <c r="A58" s="89">
        <f>IFERROR(IF($B58="","",VLOOKUP($B58,定義!$A:$B,2,FALSE())),"")</f>
        <v/>
      </c>
      <c r="B58" s="90" t="n"/>
      <c r="C58" s="90" t="n"/>
      <c r="D58" s="91" t="n"/>
      <c r="E58" s="91" t="n"/>
      <c r="F58" s="92">
        <f>IF(COUNT($D58:$E58)=0,"",SUM($D58:$E58))</f>
        <v/>
      </c>
      <c r="G58" s="90" t="n"/>
    </row>
    <row r="59" ht="15" customHeight="1" s="52">
      <c r="A59" s="89">
        <f>IFERROR(IF($B59="","",VLOOKUP($B59,定義!$A:$B,2,FALSE())),"")</f>
        <v/>
      </c>
      <c r="B59" s="90" t="n"/>
      <c r="C59" s="90" t="n"/>
      <c r="D59" s="91" t="n"/>
      <c r="E59" s="91" t="n"/>
      <c r="F59" s="92">
        <f>IF(COUNT($D59:$E59)=0,"",SUM($D59:$E59))</f>
        <v/>
      </c>
      <c r="G59" s="90" t="n"/>
    </row>
    <row r="60" ht="15" customHeight="1" s="52">
      <c r="A60" s="89">
        <f>IFERROR(IF($B60="","",VLOOKUP($B60,定義!$A:$B,2,FALSE())),"")</f>
        <v/>
      </c>
      <c r="B60" s="90" t="n"/>
      <c r="C60" s="90" t="n"/>
      <c r="D60" s="91" t="n"/>
      <c r="E60" s="91" t="n"/>
      <c r="F60" s="92">
        <f>IF(COUNT($D60:$E60)=0,"",SUM($D60:$E60))</f>
        <v/>
      </c>
      <c r="G60" s="90" t="n"/>
    </row>
    <row r="61" ht="15" customHeight="1" s="52">
      <c r="A61" s="89">
        <f>IFERROR(IF($B61="","",VLOOKUP($B61,定義!$A:$B,2,FALSE())),"")</f>
        <v/>
      </c>
      <c r="B61" s="90" t="n"/>
      <c r="C61" s="90" t="n"/>
      <c r="D61" s="91" t="n"/>
      <c r="E61" s="91" t="n"/>
      <c r="F61" s="92">
        <f>IF(COUNT($D61:$E61)=0,"",SUM($D61:$E61))</f>
        <v/>
      </c>
      <c r="G61" s="90" t="n"/>
    </row>
    <row r="62" ht="15" customHeight="1" s="52">
      <c r="A62" s="89">
        <f>IFERROR(IF($B62="","",VLOOKUP($B62,定義!$A:$B,2,FALSE())),"")</f>
        <v/>
      </c>
      <c r="B62" s="90" t="n"/>
      <c r="C62" s="90" t="n"/>
      <c r="D62" s="91" t="n"/>
      <c r="E62" s="91" t="n"/>
      <c r="F62" s="92">
        <f>IF(COUNT($D62:$E62)=0,"",SUM($D62:$E62))</f>
        <v/>
      </c>
      <c r="G62" s="90" t="n"/>
    </row>
    <row r="63" ht="15" customHeight="1" s="52">
      <c r="A63" s="89">
        <f>IFERROR(IF($B63="","",VLOOKUP($B63,定義!$A:$B,2,FALSE())),"")</f>
        <v/>
      </c>
      <c r="B63" s="90" t="n"/>
      <c r="C63" s="90" t="n"/>
      <c r="D63" s="91" t="n"/>
      <c r="E63" s="91" t="n"/>
      <c r="F63" s="92">
        <f>IF(COUNT($D63:$E63)=0,"",SUM($D63:$E63))</f>
        <v/>
      </c>
      <c r="G63" s="90" t="n"/>
    </row>
    <row r="64" ht="15" customHeight="1" s="52">
      <c r="A64" s="89">
        <f>IFERROR(IF($B64="","",VLOOKUP($B64,定義!$A:$B,2,FALSE())),"")</f>
        <v/>
      </c>
      <c r="B64" s="90" t="n"/>
      <c r="C64" s="90" t="n"/>
      <c r="D64" s="91" t="n"/>
      <c r="E64" s="91" t="n"/>
      <c r="F64" s="92">
        <f>IF(COUNT($D64:$E64)=0,"",SUM($D64:$E64))</f>
        <v/>
      </c>
      <c r="G64" s="90" t="n"/>
    </row>
    <row r="65" ht="15" customHeight="1" s="52">
      <c r="A65" s="89">
        <f>IFERROR(IF($B65="","",VLOOKUP($B65,定義!$A:$B,2,FALSE())),"")</f>
        <v/>
      </c>
      <c r="B65" s="90" t="n"/>
      <c r="C65" s="90" t="n"/>
      <c r="D65" s="91" t="n"/>
      <c r="E65" s="91" t="n"/>
      <c r="F65" s="92">
        <f>IF(COUNT($D65:$E65)=0,"",SUM($D65:$E65))</f>
        <v/>
      </c>
      <c r="G65" s="90" t="n"/>
    </row>
    <row r="66" ht="15" customHeight="1" s="52">
      <c r="A66" s="89">
        <f>IFERROR(IF($B66="","",VLOOKUP($B66,定義!$A:$B,2,FALSE())),"")</f>
        <v/>
      </c>
      <c r="B66" s="90" t="n"/>
      <c r="C66" s="90" t="n"/>
      <c r="D66" s="91" t="n"/>
      <c r="E66" s="91" t="n"/>
      <c r="F66" s="92">
        <f>IF(COUNT($D66:$E66)=0,"",SUM($D66:$E66))</f>
        <v/>
      </c>
      <c r="G66" s="90" t="n"/>
    </row>
    <row r="67" ht="15" customHeight="1" s="52">
      <c r="A67" s="89">
        <f>IFERROR(IF($B67="","",VLOOKUP($B67,定義!$A:$B,2,FALSE())),"")</f>
        <v/>
      </c>
      <c r="B67" s="90" t="n"/>
      <c r="C67" s="90" t="n"/>
      <c r="D67" s="91" t="n"/>
      <c r="E67" s="91" t="n"/>
      <c r="F67" s="92">
        <f>IF(COUNT($D67:$E67)=0,"",SUM($D67:$E67))</f>
        <v/>
      </c>
      <c r="G67" s="90" t="n"/>
    </row>
    <row r="68" ht="15" customHeight="1" s="52">
      <c r="A68" s="89">
        <f>IFERROR(IF($B68="","",VLOOKUP($B68,定義!$A:$B,2,FALSE())),"")</f>
        <v/>
      </c>
      <c r="B68" s="90" t="n"/>
      <c r="C68" s="90" t="n"/>
      <c r="D68" s="91" t="n"/>
      <c r="E68" s="91" t="n"/>
      <c r="F68" s="92">
        <f>IF(COUNT($D68:$E68)=0,"",SUM($D68:$E68))</f>
        <v/>
      </c>
      <c r="G68" s="90" t="n"/>
    </row>
    <row r="69" ht="15" customHeight="1" s="52">
      <c r="A69" s="89">
        <f>IFERROR(IF($B69="","",VLOOKUP($B69,定義!$A:$B,2,FALSE())),"")</f>
        <v/>
      </c>
      <c r="B69" s="90" t="n"/>
      <c r="C69" s="90" t="n"/>
      <c r="D69" s="91" t="n"/>
      <c r="E69" s="91" t="n"/>
      <c r="F69" s="92">
        <f>IF(COUNT($D69:$E69)=0,"",SUM($D69:$E69))</f>
        <v/>
      </c>
      <c r="G69" s="90" t="n"/>
    </row>
    <row r="70" ht="15" customHeight="1" s="52">
      <c r="A70" s="89">
        <f>IFERROR(IF($B70="","",VLOOKUP($B70,定義!$A:$B,2,FALSE())),"")</f>
        <v/>
      </c>
      <c r="B70" s="90" t="n"/>
      <c r="C70" s="90" t="n"/>
      <c r="D70" s="91" t="n"/>
      <c r="E70" s="91" t="n"/>
      <c r="F70" s="92">
        <f>IF(COUNT($D70:$E70)=0,"",SUM($D70:$E70))</f>
        <v/>
      </c>
      <c r="G70" s="90" t="n"/>
    </row>
    <row r="71" ht="15" customHeight="1" s="52">
      <c r="A71" s="89">
        <f>IFERROR(IF($B71="","",VLOOKUP($B71,定義!$A:$B,2,FALSE())),"")</f>
        <v/>
      </c>
      <c r="B71" s="90" t="n"/>
      <c r="C71" s="90" t="n"/>
      <c r="D71" s="91" t="n"/>
      <c r="E71" s="91" t="n"/>
      <c r="F71" s="92">
        <f>IF(COUNT($D71:$E71)=0,"",SUM($D71:$E71))</f>
        <v/>
      </c>
      <c r="G71" s="90" t="n"/>
    </row>
    <row r="72" ht="15" customHeight="1" s="52">
      <c r="A72" s="89">
        <f>IFERROR(IF($B72="","",VLOOKUP($B72,定義!$A:$B,2,FALSE())),"")</f>
        <v/>
      </c>
      <c r="B72" s="90" t="n"/>
      <c r="C72" s="90" t="n"/>
      <c r="D72" s="91" t="n"/>
      <c r="E72" s="91" t="n"/>
      <c r="F72" s="92">
        <f>IF(COUNT($D72:$E72)=0,"",SUM($D72:$E72))</f>
        <v/>
      </c>
      <c r="G72" s="90" t="n"/>
    </row>
    <row r="73" ht="15" customHeight="1" s="52">
      <c r="A73" s="89">
        <f>IFERROR(IF($B73="","",VLOOKUP($B73,定義!$A:$B,2,FALSE())),"")</f>
        <v/>
      </c>
      <c r="B73" s="90" t="n"/>
      <c r="C73" s="90" t="n"/>
      <c r="D73" s="91" t="n"/>
      <c r="E73" s="91" t="n"/>
      <c r="F73" s="92">
        <f>IF(COUNT($D73:$E73)=0,"",SUM($D73:$E73))</f>
        <v/>
      </c>
      <c r="G73" s="90" t="n"/>
    </row>
    <row r="74" ht="15" customHeight="1" s="52">
      <c r="A74" s="89">
        <f>IFERROR(IF($B74="","",VLOOKUP($B74,定義!$A:$B,2,FALSE())),"")</f>
        <v/>
      </c>
      <c r="B74" s="90" t="n"/>
      <c r="C74" s="90" t="n"/>
      <c r="D74" s="91" t="n"/>
      <c r="E74" s="91" t="n"/>
      <c r="F74" s="92">
        <f>IF(COUNT($D74:$E74)=0,"",SUM($D74:$E74))</f>
        <v/>
      </c>
      <c r="G74" s="90" t="n"/>
    </row>
    <row r="75" ht="15" customHeight="1" s="52">
      <c r="A75" s="89">
        <f>IFERROR(IF($B75="","",VLOOKUP($B75,定義!$A:$B,2,FALSE())),"")</f>
        <v/>
      </c>
      <c r="B75" s="90" t="n"/>
      <c r="C75" s="90" t="n"/>
      <c r="D75" s="91" t="n"/>
      <c r="E75" s="91" t="n"/>
      <c r="F75" s="92">
        <f>IF(COUNT($D75:$E75)=0,"",SUM($D75:$E75))</f>
        <v/>
      </c>
      <c r="G75" s="90" t="n"/>
    </row>
    <row r="76" ht="15" customHeight="1" s="52">
      <c r="A76" s="89">
        <f>IFERROR(IF($B76="","",VLOOKUP($B76,定義!$A:$B,2,FALSE())),"")</f>
        <v/>
      </c>
      <c r="B76" s="90" t="n"/>
      <c r="C76" s="90" t="n"/>
      <c r="D76" s="91" t="n"/>
      <c r="E76" s="91" t="n"/>
      <c r="F76" s="92">
        <f>IF(COUNT($D76:$E76)=0,"",SUM($D76:$E76))</f>
        <v/>
      </c>
      <c r="G76" s="90" t="n"/>
    </row>
    <row r="77" ht="15" customHeight="1" s="52">
      <c r="A77" s="89">
        <f>IFERROR(IF($B77="","",VLOOKUP($B77,定義!$A:$B,2,FALSE())),"")</f>
        <v/>
      </c>
      <c r="B77" s="90" t="n"/>
      <c r="C77" s="90" t="n"/>
      <c r="D77" s="91" t="n"/>
      <c r="E77" s="91" t="n"/>
      <c r="F77" s="92">
        <f>IF(COUNT($D77:$E77)=0,"",SUM($D77:$E77))</f>
        <v/>
      </c>
      <c r="G77" s="90" t="n"/>
    </row>
    <row r="78" ht="15" customHeight="1" s="52">
      <c r="A78" s="89">
        <f>IFERROR(IF($B78="","",VLOOKUP($B78,定義!$A:$B,2,FALSE())),"")</f>
        <v/>
      </c>
      <c r="B78" s="90" t="n"/>
      <c r="C78" s="90" t="n"/>
      <c r="D78" s="91" t="n"/>
      <c r="E78" s="91" t="n"/>
      <c r="F78" s="92">
        <f>IF(COUNT($D78:$E78)=0,"",SUM($D78:$E78))</f>
        <v/>
      </c>
      <c r="G78" s="90" t="n"/>
    </row>
    <row r="79" ht="15" customHeight="1" s="52">
      <c r="A79" s="89">
        <f>IFERROR(IF($B79="","",VLOOKUP($B79,定義!$A:$B,2,FALSE())),"")</f>
        <v/>
      </c>
      <c r="B79" s="90" t="n"/>
      <c r="C79" s="90" t="n"/>
      <c r="D79" s="91" t="n"/>
      <c r="E79" s="91" t="n"/>
      <c r="F79" s="92">
        <f>IF(COUNT($D79:$E79)=0,"",SUM($D79:$E79))</f>
        <v/>
      </c>
      <c r="G79" s="90" t="n"/>
    </row>
    <row r="80" ht="15" customHeight="1" s="52">
      <c r="A80" s="89">
        <f>IFERROR(IF($B80="","",VLOOKUP($B80,定義!$A:$B,2,FALSE())),"")</f>
        <v/>
      </c>
      <c r="B80" s="90" t="n"/>
      <c r="C80" s="90" t="n"/>
      <c r="D80" s="91" t="n"/>
      <c r="E80" s="91" t="n"/>
      <c r="F80" s="92">
        <f>IF(COUNT($D80:$E80)=0,"",SUM($D80:$E80))</f>
        <v/>
      </c>
      <c r="G80" s="90" t="n"/>
    </row>
    <row r="81" ht="15" customHeight="1" s="52">
      <c r="A81" s="89">
        <f>IFERROR(IF($B81="","",VLOOKUP($B81,定義!$A:$B,2,FALSE())),"")</f>
        <v/>
      </c>
      <c r="B81" s="90" t="n"/>
      <c r="C81" s="90" t="n"/>
      <c r="D81" s="91" t="n"/>
      <c r="E81" s="91" t="n"/>
      <c r="F81" s="92">
        <f>IF(COUNT($D81:$E81)=0,"",SUM($D81:$E81))</f>
        <v/>
      </c>
      <c r="G81" s="90" t="n"/>
    </row>
    <row r="82" ht="15" customHeight="1" s="52">
      <c r="A82" s="89">
        <f>IFERROR(IF($B82="","",VLOOKUP($B82,定義!$A:$B,2,FALSE())),"")</f>
        <v/>
      </c>
      <c r="B82" s="90" t="n"/>
      <c r="C82" s="90" t="n"/>
      <c r="D82" s="91" t="n"/>
      <c r="E82" s="91" t="n"/>
      <c r="F82" s="92">
        <f>IF(COUNT($D82:$E82)=0,"",SUM($D82:$E82))</f>
        <v/>
      </c>
      <c r="G82" s="90" t="n"/>
    </row>
    <row r="83" ht="15" customHeight="1" s="52">
      <c r="A83" s="89">
        <f>IFERROR(IF($B83="","",VLOOKUP($B83,定義!$A:$B,2,FALSE())),"")</f>
        <v/>
      </c>
      <c r="B83" s="90" t="n"/>
      <c r="C83" s="90" t="n"/>
      <c r="D83" s="91" t="n"/>
      <c r="E83" s="91" t="n"/>
      <c r="F83" s="92">
        <f>IF(COUNT($D83:$E83)=0,"",SUM($D83:$E83))</f>
        <v/>
      </c>
      <c r="G83" s="90" t="n"/>
    </row>
    <row r="84" ht="15" customHeight="1" s="52">
      <c r="A84" s="89">
        <f>IFERROR(IF($B84="","",VLOOKUP($B84,定義!$A:$B,2,FALSE())),"")</f>
        <v/>
      </c>
      <c r="B84" s="90" t="n"/>
      <c r="C84" s="90" t="n"/>
      <c r="D84" s="91" t="n"/>
      <c r="E84" s="91" t="n"/>
      <c r="F84" s="92">
        <f>IF(COUNT($D84:$E84)=0,"",SUM($D84:$E84))</f>
        <v/>
      </c>
      <c r="G84" s="90" t="n"/>
    </row>
    <row r="85" ht="15" customHeight="1" s="52">
      <c r="A85" s="89">
        <f>IFERROR(IF($B85="","",VLOOKUP($B85,定義!$A:$B,2,FALSE())),"")</f>
        <v/>
      </c>
      <c r="B85" s="90" t="n"/>
      <c r="C85" s="90" t="n"/>
      <c r="D85" s="91" t="n"/>
      <c r="E85" s="91" t="n"/>
      <c r="F85" s="92">
        <f>IF(COUNT($D85:$E85)=0,"",SUM($D85:$E85))</f>
        <v/>
      </c>
      <c r="G85" s="90" t="n"/>
    </row>
    <row r="86" ht="15" customHeight="1" s="52">
      <c r="A86" s="89">
        <f>IFERROR(IF($B86="","",VLOOKUP($B86,定義!$A:$B,2,FALSE())),"")</f>
        <v/>
      </c>
      <c r="B86" s="90" t="n"/>
      <c r="C86" s="90" t="n"/>
      <c r="D86" s="91" t="n"/>
      <c r="E86" s="91" t="n"/>
      <c r="F86" s="92">
        <f>IF(COUNT($D86:$E86)=0,"",SUM($D86:$E86))</f>
        <v/>
      </c>
      <c r="G86" s="90" t="n"/>
    </row>
    <row r="87" ht="15" customHeight="1" s="52">
      <c r="A87" s="89">
        <f>IFERROR(IF($B87="","",VLOOKUP($B87,定義!$A:$B,2,FALSE())),"")</f>
        <v/>
      </c>
      <c r="B87" s="90" t="n"/>
      <c r="C87" s="90" t="n"/>
      <c r="D87" s="91" t="n"/>
      <c r="E87" s="91" t="n"/>
      <c r="F87" s="92">
        <f>IF(COUNT($D87:$E87)=0,"",SUM($D87:$E87))</f>
        <v/>
      </c>
      <c r="G87" s="90" t="n"/>
    </row>
    <row r="88" ht="15" customHeight="1" s="52">
      <c r="A88" s="89">
        <f>IFERROR(IF($B88="","",VLOOKUP($B88,定義!$A:$B,2,FALSE())),"")</f>
        <v/>
      </c>
      <c r="B88" s="90" t="n"/>
      <c r="C88" s="90" t="n"/>
      <c r="D88" s="91" t="n"/>
      <c r="E88" s="91" t="n"/>
      <c r="F88" s="92">
        <f>IF(COUNT($D88:$E88)=0,"",SUM($D88:$E88))</f>
        <v/>
      </c>
      <c r="G88" s="90" t="n"/>
    </row>
    <row r="89" ht="15" customHeight="1" s="52">
      <c r="A89" s="89">
        <f>IFERROR(IF($B89="","",VLOOKUP($B89,定義!$A:$B,2,FALSE())),"")</f>
        <v/>
      </c>
      <c r="B89" s="90" t="n"/>
      <c r="C89" s="90" t="n"/>
      <c r="D89" s="91" t="n"/>
      <c r="E89" s="91" t="n"/>
      <c r="F89" s="92">
        <f>IF(COUNT($D89:$E89)=0,"",SUM($D89:$E89))</f>
        <v/>
      </c>
      <c r="G89" s="90" t="n"/>
    </row>
    <row r="90" ht="15" customHeight="1" s="52">
      <c r="A90" s="89">
        <f>IFERROR(IF($B90="","",VLOOKUP($B90,定義!$A:$B,2,FALSE())),"")</f>
        <v/>
      </c>
      <c r="B90" s="90" t="n"/>
      <c r="C90" s="90" t="n"/>
      <c r="D90" s="91" t="n"/>
      <c r="E90" s="91" t="n"/>
      <c r="F90" s="92">
        <f>IF(COUNT($D90:$E90)=0,"",SUM($D90:$E90))</f>
        <v/>
      </c>
      <c r="G90" s="90" t="n"/>
    </row>
    <row r="91" ht="15" customHeight="1" s="52">
      <c r="A91" s="89">
        <f>IFERROR(IF($B91="","",VLOOKUP($B91,定義!$A:$B,2,FALSE())),"")</f>
        <v/>
      </c>
      <c r="B91" s="90" t="n"/>
      <c r="C91" s="90" t="n"/>
      <c r="D91" s="91" t="n"/>
      <c r="E91" s="91" t="n"/>
      <c r="F91" s="92">
        <f>IF(COUNT($D91:$E91)=0,"",SUM($D91:$E91))</f>
        <v/>
      </c>
      <c r="G91" s="90" t="n"/>
    </row>
    <row r="92" ht="15" customHeight="1" s="52">
      <c r="A92" s="89">
        <f>IFERROR(IF($B92="","",VLOOKUP($B92,定義!$A:$B,2,FALSE())),"")</f>
        <v/>
      </c>
      <c r="B92" s="90" t="n"/>
      <c r="C92" s="90" t="n"/>
      <c r="D92" s="91" t="n"/>
      <c r="E92" s="91" t="n"/>
      <c r="F92" s="92">
        <f>IF(COUNT($D92:$E92)=0,"",SUM($D92:$E92))</f>
        <v/>
      </c>
      <c r="G92" s="90" t="n"/>
    </row>
    <row r="93" ht="15" customHeight="1" s="52">
      <c r="A93" s="89">
        <f>IFERROR(IF($B93="","",VLOOKUP($B93,定義!$A:$B,2,FALSE())),"")</f>
        <v/>
      </c>
      <c r="B93" s="90" t="n"/>
      <c r="C93" s="90" t="n"/>
      <c r="D93" s="91" t="n"/>
      <c r="E93" s="91" t="n"/>
      <c r="F93" s="92">
        <f>IF(COUNT($D93:$E93)=0,"",SUM($D93:$E93))</f>
        <v/>
      </c>
      <c r="G93" s="90" t="n"/>
    </row>
    <row r="94" ht="15" customHeight="1" s="52">
      <c r="A94" s="89">
        <f>IFERROR(IF($B94="","",VLOOKUP($B94,定義!$A:$B,2,FALSE())),"")</f>
        <v/>
      </c>
      <c r="B94" s="90" t="n"/>
      <c r="C94" s="90" t="n"/>
      <c r="D94" s="91" t="n"/>
      <c r="E94" s="91" t="n"/>
      <c r="F94" s="92">
        <f>IF(COUNT($D94:$E94)=0,"",SUM($D94:$E94))</f>
        <v/>
      </c>
      <c r="G94" s="90" t="n"/>
    </row>
    <row r="95" ht="15" customHeight="1" s="52">
      <c r="A95" s="89">
        <f>IFERROR(IF($B95="","",VLOOKUP($B95,定義!$A:$B,2,FALSE())),"")</f>
        <v/>
      </c>
      <c r="B95" s="90" t="n"/>
      <c r="C95" s="90" t="n"/>
      <c r="D95" s="91" t="n"/>
      <c r="E95" s="91" t="n"/>
      <c r="F95" s="92">
        <f>IF(COUNT($D95:$E95)=0,"",SUM($D95:$E95))</f>
        <v/>
      </c>
      <c r="G95" s="90" t="n"/>
    </row>
    <row r="96" ht="15" customHeight="1" s="52">
      <c r="A96" s="89">
        <f>IFERROR(IF($B96="","",VLOOKUP($B96,定義!$A:$B,2,FALSE())),"")</f>
        <v/>
      </c>
      <c r="B96" s="90" t="n"/>
      <c r="C96" s="90" t="n"/>
      <c r="D96" s="91" t="n"/>
      <c r="E96" s="91" t="n"/>
      <c r="F96" s="92">
        <f>IF(COUNT($D96:$E96)=0,"",SUM($D96:$E96))</f>
        <v/>
      </c>
      <c r="G96" s="90" t="n"/>
    </row>
    <row r="97" ht="15" customHeight="1" s="52">
      <c r="A97" s="89">
        <f>IFERROR(IF($B97="","",VLOOKUP($B97,定義!$A:$B,2,FALSE())),"")</f>
        <v/>
      </c>
      <c r="B97" s="90" t="n"/>
      <c r="C97" s="90" t="n"/>
      <c r="D97" s="91" t="n"/>
      <c r="E97" s="91" t="n"/>
      <c r="F97" s="92">
        <f>IF(COUNT($D97:$E97)=0,"",SUM($D97:$E97))</f>
        <v/>
      </c>
      <c r="G97" s="90" t="n"/>
    </row>
    <row r="98" ht="15" customHeight="1" s="52">
      <c r="A98" s="89">
        <f>IFERROR(IF($B98="","",VLOOKUP($B98,定義!$A:$B,2,FALSE())),"")</f>
        <v/>
      </c>
      <c r="B98" s="90" t="n"/>
      <c r="C98" s="90" t="n"/>
      <c r="D98" s="91" t="n"/>
      <c r="E98" s="91" t="n"/>
      <c r="F98" s="92">
        <f>IF(COUNT($D98:$E98)=0,"",SUM($D98:$E98))</f>
        <v/>
      </c>
      <c r="G98" s="90" t="n"/>
    </row>
    <row r="99" ht="15" customHeight="1" s="52">
      <c r="A99" s="89">
        <f>IFERROR(IF($B99="","",VLOOKUP($B99,定義!$A:$B,2,FALSE())),"")</f>
        <v/>
      </c>
      <c r="B99" s="90" t="n"/>
      <c r="C99" s="90" t="n"/>
      <c r="D99" s="91" t="n"/>
      <c r="E99" s="91" t="n"/>
      <c r="F99" s="92">
        <f>IF(COUNT($D99:$E99)=0,"",SUM($D99:$E99))</f>
        <v/>
      </c>
      <c r="G99" s="90" t="n"/>
    </row>
    <row r="100" ht="15" customHeight="1" s="52">
      <c r="A100" s="89">
        <f>IFERROR(IF($B100="","",VLOOKUP($B100,定義!$A:$B,2,FALSE())),"")</f>
        <v/>
      </c>
      <c r="B100" s="90" t="n"/>
      <c r="C100" s="90" t="n"/>
      <c r="D100" s="91" t="n"/>
      <c r="E100" s="91" t="n"/>
      <c r="F100" s="92">
        <f>IF(COUNT($D100:$E100)=0,"",SUM($D100:$E100))</f>
        <v/>
      </c>
      <c r="G100" s="90" t="n"/>
    </row>
    <row r="101" ht="15" customHeight="1" s="52">
      <c r="A101" s="89">
        <f>IFERROR(IF($B101="","",VLOOKUP($B101,定義!$A:$B,2,FALSE())),"")</f>
        <v/>
      </c>
      <c r="B101" s="90" t="n"/>
      <c r="C101" s="90" t="n"/>
      <c r="D101" s="91" t="n"/>
      <c r="E101" s="91" t="n"/>
      <c r="F101" s="92">
        <f>IF(COUNT($D101:$E101)=0,"",SUM($D101:$E101))</f>
        <v/>
      </c>
      <c r="G101" s="90" t="n"/>
    </row>
    <row r="102" ht="15" customHeight="1" s="52">
      <c r="A102" s="89">
        <f>IFERROR(IF($B102="","",VLOOKUP($B102,定義!$A:$B,2,FALSE())),"")</f>
        <v/>
      </c>
      <c r="B102" s="90" t="n"/>
      <c r="C102" s="90" t="n"/>
      <c r="D102" s="91" t="n"/>
      <c r="E102" s="91" t="n"/>
      <c r="F102" s="92">
        <f>IF(COUNT($D102:$E102)=0,"",SUM($D102:$E102))</f>
        <v/>
      </c>
      <c r="G102" s="90" t="n"/>
    </row>
    <row r="103" ht="15" customHeight="1" s="52">
      <c r="A103" s="89">
        <f>IFERROR(IF($B103="","",VLOOKUP($B103,定義!$A:$B,2,FALSE())),"")</f>
        <v/>
      </c>
      <c r="B103" s="90" t="n"/>
      <c r="C103" s="90" t="n"/>
      <c r="D103" s="91" t="n"/>
      <c r="E103" s="91" t="n"/>
      <c r="F103" s="92">
        <f>IF(COUNT($D103:$E103)=0,"",SUM($D103:$E103))</f>
        <v/>
      </c>
      <c r="G103" s="90" t="n"/>
    </row>
    <row r="104" ht="15" customHeight="1" s="52">
      <c r="A104" s="89">
        <f>IFERROR(IF($B104="","",VLOOKUP($B104,定義!$A:$B,2,FALSE())),"")</f>
        <v/>
      </c>
      <c r="B104" s="90" t="n"/>
      <c r="C104" s="90" t="n"/>
      <c r="D104" s="91" t="n"/>
      <c r="E104" s="91" t="n"/>
      <c r="F104" s="92">
        <f>IF(COUNT($D104:$E104)=0,"",SUM($D104:$E104))</f>
        <v/>
      </c>
      <c r="G104" s="90" t="n"/>
    </row>
    <row r="105" ht="15" customHeight="1" s="52">
      <c r="A105" s="89">
        <f>IFERROR(IF($B105="","",VLOOKUP($B105,定義!$A:$B,2,FALSE())),"")</f>
        <v/>
      </c>
      <c r="B105" s="90" t="n"/>
      <c r="C105" s="90" t="n"/>
      <c r="D105" s="91" t="n"/>
      <c r="E105" s="91" t="n"/>
      <c r="F105" s="92">
        <f>IF(COUNT($D105:$E105)=0,"",SUM($D105:$E105))</f>
        <v/>
      </c>
      <c r="G105" s="90" t="n"/>
    </row>
    <row r="106" ht="15" customHeight="1" s="52">
      <c r="A106" s="89">
        <f>IFERROR(IF($B106="","",VLOOKUP($B106,定義!$A:$B,2,FALSE())),"")</f>
        <v/>
      </c>
      <c r="B106" s="90" t="n"/>
      <c r="C106" s="90" t="n"/>
      <c r="D106" s="91" t="n"/>
      <c r="E106" s="91" t="n"/>
      <c r="F106" s="92">
        <f>IF(COUNT($D106:$E106)=0,"",SUM($D106:$E106))</f>
        <v/>
      </c>
      <c r="G106" s="90" t="n"/>
    </row>
    <row r="107" ht="15" customHeight="1" s="52">
      <c r="A107" s="89">
        <f>IFERROR(IF($B107="","",VLOOKUP($B107,定義!$A:$B,2,FALSE())),"")</f>
        <v/>
      </c>
      <c r="B107" s="90" t="n"/>
      <c r="C107" s="90" t="n"/>
      <c r="D107" s="91" t="n"/>
      <c r="E107" s="91" t="n"/>
      <c r="F107" s="92">
        <f>IF(COUNT($D107:$E107)=0,"",SUM($D107:$E107))</f>
        <v/>
      </c>
      <c r="G107" s="90" t="n"/>
    </row>
    <row r="108" ht="15" customHeight="1" s="52">
      <c r="A108" s="89">
        <f>IFERROR(IF($B108="","",VLOOKUP($B108,定義!$A:$B,2,FALSE())),"")</f>
        <v/>
      </c>
      <c r="B108" s="90" t="n"/>
      <c r="C108" s="90" t="n"/>
      <c r="D108" s="91" t="n"/>
      <c r="E108" s="91" t="n"/>
      <c r="F108" s="92">
        <f>IF(COUNT($D108:$E108)=0,"",SUM($D108:$E108))</f>
        <v/>
      </c>
      <c r="G108" s="90" t="n"/>
    </row>
    <row r="109" ht="15" customHeight="1" s="52">
      <c r="A109" s="89">
        <f>IFERROR(IF($B109="","",VLOOKUP($B109,定義!$A:$B,2,FALSE())),"")</f>
        <v/>
      </c>
      <c r="B109" s="90" t="n"/>
      <c r="C109" s="90" t="n"/>
      <c r="D109" s="91" t="n"/>
      <c r="E109" s="91" t="n"/>
      <c r="F109" s="92">
        <f>IF(COUNT($D109:$E109)=0,"",SUM($D109:$E109))</f>
        <v/>
      </c>
      <c r="G109" s="90" t="n"/>
    </row>
    <row r="110" ht="15" customHeight="1" s="52">
      <c r="A110" s="89">
        <f>IFERROR(IF($B110="","",VLOOKUP($B110,定義!$A:$B,2,FALSE())),"")</f>
        <v/>
      </c>
      <c r="B110" s="90" t="n"/>
      <c r="C110" s="90" t="n"/>
      <c r="D110" s="91" t="n"/>
      <c r="E110" s="91" t="n"/>
      <c r="F110" s="92">
        <f>IF(COUNT($D110:$E110)=0,"",SUM($D110:$E110))</f>
        <v/>
      </c>
      <c r="G110" s="90" t="n"/>
    </row>
    <row r="111" ht="15" customHeight="1" s="52">
      <c r="A111" s="89">
        <f>IFERROR(IF($B111="","",VLOOKUP($B111,定義!$A:$B,2,FALSE())),"")</f>
        <v/>
      </c>
      <c r="B111" s="90" t="n"/>
      <c r="C111" s="90" t="n"/>
      <c r="D111" s="91" t="n"/>
      <c r="E111" s="91" t="n"/>
      <c r="F111" s="92">
        <f>IF(COUNT($D111:$E111)=0,"",SUM($D111:$E111))</f>
        <v/>
      </c>
      <c r="G111" s="90" t="n"/>
    </row>
    <row r="112" ht="15" customHeight="1" s="52">
      <c r="A112" s="89">
        <f>IFERROR(IF($B112="","",VLOOKUP($B112,定義!$A:$B,2,FALSE())),"")</f>
        <v/>
      </c>
      <c r="B112" s="90" t="n"/>
      <c r="C112" s="90" t="n"/>
      <c r="D112" s="91" t="n"/>
      <c r="E112" s="91" t="n"/>
      <c r="F112" s="92">
        <f>IF(COUNT($D112:$E112)=0,"",SUM($D112:$E112))</f>
        <v/>
      </c>
      <c r="G112" s="90" t="n"/>
    </row>
    <row r="113" ht="15" customHeight="1" s="52">
      <c r="A113" s="89">
        <f>IFERROR(IF($B113="","",VLOOKUP($B113,定義!$A:$B,2,FALSE())),"")</f>
        <v/>
      </c>
      <c r="B113" s="90" t="n"/>
      <c r="C113" s="90" t="n"/>
      <c r="D113" s="91" t="n"/>
      <c r="E113" s="91" t="n"/>
      <c r="F113" s="92">
        <f>IF(COUNT($D113:$E113)=0,"",SUM($D113:$E113))</f>
        <v/>
      </c>
      <c r="G113" s="90" t="n"/>
    </row>
    <row r="114" ht="15" customHeight="1" s="52">
      <c r="A114" s="89">
        <f>IFERROR(IF($B114="","",VLOOKUP($B114,定義!$A:$B,2,FALSE())),"")</f>
        <v/>
      </c>
      <c r="B114" s="90" t="n"/>
      <c r="C114" s="90" t="n"/>
      <c r="D114" s="91" t="n"/>
      <c r="E114" s="91" t="n"/>
      <c r="F114" s="92">
        <f>IF(COUNT($D114:$E114)=0,"",SUM($D114:$E114))</f>
        <v/>
      </c>
      <c r="G114" s="90" t="n"/>
    </row>
    <row r="115" ht="15" customHeight="1" s="52">
      <c r="A115" s="89">
        <f>IFERROR(IF($B115="","",VLOOKUP($B115,定義!$A:$B,2,FALSE())),"")</f>
        <v/>
      </c>
      <c r="B115" s="90" t="n"/>
      <c r="C115" s="90" t="n"/>
      <c r="D115" s="91" t="n"/>
      <c r="E115" s="91" t="n"/>
      <c r="F115" s="92">
        <f>IF(COUNT($D115:$E115)=0,"",SUM($D115:$E115))</f>
        <v/>
      </c>
      <c r="G115" s="90" t="n"/>
    </row>
    <row r="116" ht="15" customHeight="1" s="52">
      <c r="A116" s="89">
        <f>IFERROR(IF($B116="","",VLOOKUP($B116,定義!$A:$B,2,FALSE())),"")</f>
        <v/>
      </c>
      <c r="B116" s="90" t="n"/>
      <c r="C116" s="90" t="n"/>
      <c r="D116" s="91" t="n"/>
      <c r="E116" s="91" t="n"/>
      <c r="F116" s="92">
        <f>IF(COUNT($D116:$E116)=0,"",SUM($D116:$E116))</f>
        <v/>
      </c>
      <c r="G116" s="90" t="n"/>
    </row>
    <row r="117" ht="15" customHeight="1" s="52">
      <c r="A117" s="89">
        <f>IFERROR(IF($B117="","",VLOOKUP($B117,定義!$A:$B,2,FALSE())),"")</f>
        <v/>
      </c>
      <c r="B117" s="90" t="n"/>
      <c r="C117" s="90" t="n"/>
      <c r="D117" s="91" t="n"/>
      <c r="E117" s="91" t="n"/>
      <c r="F117" s="92">
        <f>IF(COUNT($D117:$E117)=0,"",SUM($D117:$E117))</f>
        <v/>
      </c>
      <c r="G117" s="90" t="n"/>
    </row>
    <row r="118" ht="15" customHeight="1" s="52">
      <c r="A118" s="89">
        <f>IFERROR(IF($B118="","",VLOOKUP($B118,定義!$A:$B,2,FALSE())),"")</f>
        <v/>
      </c>
      <c r="B118" s="90" t="n"/>
      <c r="C118" s="90" t="n"/>
      <c r="D118" s="91" t="n"/>
      <c r="E118" s="91" t="n"/>
      <c r="F118" s="92">
        <f>IF(COUNT($D118:$E118)=0,"",SUM($D118:$E118))</f>
        <v/>
      </c>
      <c r="G118" s="90" t="n"/>
    </row>
    <row r="119" ht="15" customHeight="1" s="52">
      <c r="A119" s="89">
        <f>IFERROR(IF($B119="","",VLOOKUP($B119,定義!$A:$B,2,FALSE())),"")</f>
        <v/>
      </c>
      <c r="B119" s="90" t="n"/>
      <c r="C119" s="90" t="n"/>
      <c r="D119" s="91" t="n"/>
      <c r="E119" s="91" t="n"/>
      <c r="F119" s="92">
        <f>IF(COUNT($D119:$E119)=0,"",SUM($D119:$E119))</f>
        <v/>
      </c>
      <c r="G119" s="90" t="n"/>
    </row>
    <row r="120" ht="15" customHeight="1" s="52">
      <c r="A120" s="89">
        <f>IFERROR(IF($B120="","",VLOOKUP($B120,定義!$A:$B,2,FALSE())),"")</f>
        <v/>
      </c>
      <c r="B120" s="90" t="n"/>
      <c r="C120" s="90" t="n"/>
      <c r="D120" s="91" t="n"/>
      <c r="E120" s="91" t="n"/>
      <c r="F120" s="92">
        <f>IF(COUNT($D120:$E120)=0,"",SUM($D120:$E120))</f>
        <v/>
      </c>
      <c r="G120" s="90" t="n"/>
    </row>
    <row r="121" ht="15" customHeight="1" s="52">
      <c r="A121" s="89">
        <f>IFERROR(IF($B121="","",VLOOKUP($B121,定義!$A:$B,2,FALSE())),"")</f>
        <v/>
      </c>
      <c r="B121" s="90" t="n"/>
      <c r="C121" s="90" t="n"/>
      <c r="D121" s="91" t="n"/>
      <c r="E121" s="91" t="n"/>
      <c r="F121" s="92">
        <f>IF(COUNT($D121:$E121)=0,"",SUM($D121:$E121))</f>
        <v/>
      </c>
      <c r="G121" s="90" t="n"/>
    </row>
    <row r="122" ht="15" customHeight="1" s="52">
      <c r="A122" s="89">
        <f>IFERROR(IF($B122="","",VLOOKUP($B122,定義!$A:$B,2,FALSE())),"")</f>
        <v/>
      </c>
      <c r="B122" s="90" t="n"/>
      <c r="C122" s="90" t="n"/>
      <c r="D122" s="91" t="n"/>
      <c r="E122" s="91" t="n"/>
      <c r="F122" s="92">
        <f>IF(COUNT($D122:$E122)=0,"",SUM($D122:$E122))</f>
        <v/>
      </c>
      <c r="G122" s="90" t="n"/>
    </row>
    <row r="123" ht="15" customHeight="1" s="52">
      <c r="A123" s="89">
        <f>IFERROR(IF($B123="","",VLOOKUP($B123,定義!$A:$B,2,FALSE())),"")</f>
        <v/>
      </c>
      <c r="B123" s="90" t="n"/>
      <c r="C123" s="90" t="n"/>
      <c r="D123" s="91" t="n"/>
      <c r="E123" s="91" t="n"/>
      <c r="F123" s="92">
        <f>IF(COUNT($D123:$E123)=0,"",SUM($D123:$E123))</f>
        <v/>
      </c>
      <c r="G123" s="90" t="n"/>
    </row>
    <row r="124" ht="15" customHeight="1" s="52">
      <c r="A124" s="89">
        <f>IFERROR(IF($B124="","",VLOOKUP($B124,定義!$A:$B,2,FALSE())),"")</f>
        <v/>
      </c>
      <c r="B124" s="90" t="n"/>
      <c r="C124" s="90" t="n"/>
      <c r="D124" s="91" t="n"/>
      <c r="E124" s="91" t="n"/>
      <c r="F124" s="92">
        <f>IF(COUNT($D124:$E124)=0,"",SUM($D124:$E124))</f>
        <v/>
      </c>
      <c r="G124" s="90" t="n"/>
    </row>
    <row r="125" ht="15" customHeight="1" s="52">
      <c r="A125" s="89">
        <f>IFERROR(IF($B125="","",VLOOKUP($B125,定義!$A:$B,2,FALSE())),"")</f>
        <v/>
      </c>
      <c r="B125" s="90" t="n"/>
      <c r="C125" s="90" t="n"/>
      <c r="D125" s="91" t="n"/>
      <c r="E125" s="91" t="n"/>
      <c r="F125" s="92">
        <f>IF(COUNT($D125:$E125)=0,"",SUM($D125:$E125))</f>
        <v/>
      </c>
      <c r="G125" s="90" t="n"/>
    </row>
    <row r="126" ht="15" customHeight="1" s="52">
      <c r="A126" s="89">
        <f>IFERROR(IF($B126="","",VLOOKUP($B126,定義!$A:$B,2,FALSE())),"")</f>
        <v/>
      </c>
      <c r="B126" s="90" t="n"/>
      <c r="C126" s="90" t="n"/>
      <c r="D126" s="91" t="n"/>
      <c r="E126" s="91" t="n"/>
      <c r="F126" s="92">
        <f>IF(COUNT($D126:$E126)=0,"",SUM($D126:$E126))</f>
        <v/>
      </c>
      <c r="G126" s="90" t="n"/>
    </row>
  </sheetData>
  <dataValidations count="8">
    <dataValidation sqref="B7:B126" showDropDown="0" showInputMessage="0" showErrorMessage="1" allowBlank="1" errorTitle="入力エラー" error="一覧から中分類を選んでください" type="list" errorStyle="stop" operator="between">
      <formula1>定義!$A$2:$A$11</formula1>
      <formula2>0</formula2>
    </dataValidation>
    <dataValidation sqref="C7:C126" showDropDown="0" showInputMessage="0" showErrorMessage="1" allowBlank="1" errorTitle="入力エラー" error="先に中分類を選んでください" type="list" errorStyle="stop" operator="between">
      <formula1>INDIRECT(VLOOKUP($B7,定義!$A:$C,3,0))</formula1>
      <formula2>0</formula2>
    </dataValidation>
    <dataValidation sqref="D7:E126" showDropDown="0" showInputMessage="0" showErrorMessage="1" allowBlank="1" errorTitle="入力エラー" error="0以上の数値（分）を入力してください" type="decimal" errorStyle="stop" operator="greaterThanOrEqual">
      <formula1>0</formula1>
      <formula2>0</formula2>
    </dataValidation>
    <dataValidation sqref="J5" showDropDown="0" showInputMessage="0" showErrorMessage="0" allowBlank="1" type="list" errorStyle="stop" operator="between">
      <formula1>定義!$A$2:$A$11</formula1>
      <formula2>0</formula2>
    </dataValidation>
    <dataValidation sqref="J6" showDropDown="0" showInputMessage="0" showErrorMessage="0" allowBlank="1" type="list" errorStyle="stop" operator="between">
      <formula1>INDIRECT(VLOOKUP($J$5,定義!$A:$C,3,0))</formula1>
      <formula2>0</formula2>
    </dataValidation>
    <dataValidation sqref="B4" showDropDown="0" showInputMessage="0" showErrorMessage="0" allowBlank="1" type="list" errorStyle="stop" operator="between">
      <formula1>定義!$P$2:$P$6</formula1>
      <formula2>0</formula2>
    </dataValidation>
    <dataValidation sqref="F4" showDropDown="0" showInputMessage="0" showErrorMessage="0" allowBlank="1" type="list" errorStyle="stop" operator="between">
      <formula1>定義!$Q$2:$Q$5</formula1>
      <formula2>0</formula2>
    </dataValidation>
    <dataValidation sqref="N4" showDropDown="0" showInputMessage="0" showErrorMessage="0" allowBlank="1" type="list">
      <formula1>"ON,OFF"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51" min="1" max="1"/>
    <col width="22" customWidth="1" style="51" min="2" max="2"/>
    <col width="16" customWidth="1" style="51" min="3" max="3"/>
    <col width="24" customWidth="1" style="51" min="5" max="14"/>
  </cols>
  <sheetData>
    <row r="1" ht="15" customHeight="1" s="52">
      <c r="A1" s="94" t="inlineStr">
        <is>
          <t>中分類</t>
        </is>
      </c>
      <c r="B1" s="94" t="inlineStr">
        <is>
          <t>大分類</t>
        </is>
      </c>
      <c r="C1" s="94" t="inlineStr">
        <is>
          <t>名前定義キー</t>
        </is>
      </c>
      <c r="E1" s="94" t="inlineStr">
        <is>
          <t>直接看護Ⅰ</t>
        </is>
      </c>
      <c r="F1" s="94" t="inlineStr">
        <is>
          <t>直接看護Ⅱ</t>
        </is>
      </c>
      <c r="G1" s="94" t="inlineStr">
        <is>
          <t>直接看護Ⅲ</t>
        </is>
      </c>
      <c r="H1" s="94" t="inlineStr">
        <is>
          <t>間接看護</t>
        </is>
      </c>
      <c r="I1" s="94" t="inlineStr">
        <is>
          <t>物品管理</t>
        </is>
      </c>
      <c r="J1" s="94" t="inlineStr">
        <is>
          <t>環境整備</t>
        </is>
      </c>
      <c r="K1" s="94" t="inlineStr">
        <is>
          <t>事務</t>
        </is>
      </c>
      <c r="L1" s="94" t="inlineStr">
        <is>
          <t>連絡</t>
        </is>
      </c>
      <c r="M1" s="94" t="inlineStr">
        <is>
          <t>管理・教育</t>
        </is>
      </c>
      <c r="N1" s="94" t="inlineStr">
        <is>
          <t>私用</t>
        </is>
      </c>
      <c r="P1" s="79" t="inlineStr">
        <is>
          <t>部署（例）</t>
        </is>
      </c>
      <c r="Q1" s="79" t="inlineStr">
        <is>
          <t>勤務帯</t>
        </is>
      </c>
      <c r="R1" s="79" t="inlineStr">
        <is>
          <t>開始</t>
        </is>
      </c>
      <c r="S1" s="79" t="inlineStr">
        <is>
          <t>終了</t>
        </is>
      </c>
    </row>
    <row r="2" ht="17.15" customHeight="1" s="52">
      <c r="A2" s="95" t="inlineStr">
        <is>
          <t>直接看護Ⅰ</t>
        </is>
      </c>
      <c r="B2" s="51" t="inlineStr">
        <is>
          <t>A 患者中心の看護活動</t>
        </is>
      </c>
      <c r="C2" s="51" t="inlineStr">
        <is>
          <t>sub_direct1</t>
        </is>
      </c>
      <c r="E2" s="95" t="inlineStr">
        <is>
          <t>清潔</t>
        </is>
      </c>
      <c r="F2" s="95" t="inlineStr">
        <is>
          <t>看護処置</t>
        </is>
      </c>
      <c r="G2" s="95" t="inlineStr">
        <is>
          <t>患者指導</t>
        </is>
      </c>
      <c r="H2" s="95" t="inlineStr">
        <is>
          <t>看護記録</t>
        </is>
      </c>
      <c r="I2" s="95" t="inlineStr">
        <is>
          <t>薬品</t>
        </is>
      </c>
      <c r="J2" s="95" t="inlineStr">
        <is>
          <t>ハウスキーピング</t>
        </is>
      </c>
      <c r="K2" s="95" t="inlineStr">
        <is>
          <t>事務一般</t>
        </is>
      </c>
      <c r="L2" s="95" t="inlineStr">
        <is>
          <t>ナースコール</t>
        </is>
      </c>
      <c r="M2" s="95" t="inlineStr">
        <is>
          <t>管理業務</t>
        </is>
      </c>
      <c r="N2" s="95" t="inlineStr">
        <is>
          <t>食事・休憩</t>
        </is>
      </c>
      <c r="P2" s="96" t="inlineStr">
        <is>
          <t>病棟A</t>
        </is>
      </c>
      <c r="Q2" s="96" t="inlineStr">
        <is>
          <t>日勤</t>
        </is>
      </c>
      <c r="R2" s="97" t="inlineStr">
        <is>
          <t>08:30</t>
        </is>
      </c>
      <c r="S2" s="97" t="inlineStr">
        <is>
          <t>17:00</t>
        </is>
      </c>
    </row>
    <row r="3" ht="17.15" customHeight="1" s="52">
      <c r="A3" s="95" t="inlineStr">
        <is>
          <t>直接看護Ⅱ</t>
        </is>
      </c>
      <c r="B3" s="51" t="inlineStr">
        <is>
          <t>A 患者中心の看護活動</t>
        </is>
      </c>
      <c r="C3" s="51" t="inlineStr">
        <is>
          <t>sub_direct2</t>
        </is>
      </c>
      <c r="E3" s="95" t="inlineStr">
        <is>
          <t>排泄</t>
        </is>
      </c>
      <c r="F3" s="95" t="inlineStr">
        <is>
          <t>処置の介助</t>
        </is>
      </c>
      <c r="G3" s="95" t="inlineStr">
        <is>
          <t>患者搬送</t>
        </is>
      </c>
      <c r="H3" s="95" t="inlineStr">
        <is>
          <t>看護計画</t>
        </is>
      </c>
      <c r="I3" s="95" t="inlineStr">
        <is>
          <t>消耗品</t>
        </is>
      </c>
      <c r="J3" s="95" t="inlineStr">
        <is>
          <t>器材の整備</t>
        </is>
      </c>
      <c r="K3" s="95" t="inlineStr">
        <is>
          <t>搬送（患者以外）</t>
        </is>
      </c>
      <c r="L3" s="95" t="inlineStr">
        <is>
          <t>電話連絡</t>
        </is>
      </c>
      <c r="M3" s="95" t="inlineStr">
        <is>
          <t>研修</t>
        </is>
      </c>
      <c r="N3" s="95" t="inlineStr">
        <is>
          <t>私用（トイレ）</t>
        </is>
      </c>
      <c r="P3" s="96" t="inlineStr">
        <is>
          <t>病棟B</t>
        </is>
      </c>
      <c r="Q3" s="96" t="inlineStr">
        <is>
          <t>夜勤</t>
        </is>
      </c>
      <c r="R3" s="97" t="inlineStr">
        <is>
          <t>16:30</t>
        </is>
      </c>
      <c r="S3" s="97" t="inlineStr">
        <is>
          <t>09:00</t>
        </is>
      </c>
    </row>
    <row r="4" ht="17.15" customHeight="1" s="52">
      <c r="A4" s="95" t="inlineStr">
        <is>
          <t>直接看護Ⅲ</t>
        </is>
      </c>
      <c r="B4" s="51" t="inlineStr">
        <is>
          <t>A 患者中心の看護活動</t>
        </is>
      </c>
      <c r="C4" s="51" t="inlineStr">
        <is>
          <t>sub_direct3</t>
        </is>
      </c>
      <c r="E4" s="95" t="inlineStr">
        <is>
          <t>食事</t>
        </is>
      </c>
      <c r="F4" s="95" t="inlineStr">
        <is>
          <t>与薬（内服・外用・他）</t>
        </is>
      </c>
      <c r="G4" s="95" t="inlineStr">
        <is>
          <t>患者の用事</t>
        </is>
      </c>
      <c r="H4" s="95" t="inlineStr">
        <is>
          <t>サマリー</t>
        </is>
      </c>
      <c r="I4" s="95" t="inlineStr">
        <is>
          <t>滅菌器材</t>
        </is>
      </c>
      <c r="J4" s="95" t="inlineStr">
        <is>
          <t>清拭車の準備</t>
        </is>
      </c>
      <c r="L4" s="95" t="inlineStr">
        <is>
          <t>待ち時間</t>
        </is>
      </c>
      <c r="M4" s="95" t="inlineStr">
        <is>
          <t>学生指導</t>
        </is>
      </c>
      <c r="P4" s="96" t="inlineStr">
        <is>
          <t>病棟C</t>
        </is>
      </c>
      <c r="Q4" s="96" t="inlineStr">
        <is>
          <t>早出</t>
        </is>
      </c>
      <c r="R4" s="97" t="inlineStr">
        <is>
          <t>07:00</t>
        </is>
      </c>
      <c r="S4" s="97" t="inlineStr">
        <is>
          <t>15:30</t>
        </is>
      </c>
    </row>
    <row r="5" ht="17.15" customHeight="1" s="52">
      <c r="A5" s="95" t="inlineStr">
        <is>
          <t>間接看護</t>
        </is>
      </c>
      <c r="B5" s="51" t="inlineStr">
        <is>
          <t>A 患者中心の看護活動</t>
        </is>
      </c>
      <c r="C5" s="51" t="inlineStr">
        <is>
          <t>sub_indirect</t>
        </is>
      </c>
      <c r="E5" s="95" t="inlineStr">
        <is>
          <t>安全・安楽</t>
        </is>
      </c>
      <c r="F5" s="95" t="inlineStr">
        <is>
          <t>与薬（注射）</t>
        </is>
      </c>
      <c r="G5" s="95" t="inlineStr">
        <is>
          <t>転室・転棟</t>
        </is>
      </c>
      <c r="H5" s="95" t="inlineStr">
        <is>
          <t>診療報酬に係る記録</t>
        </is>
      </c>
      <c r="P5" s="96" t="inlineStr">
        <is>
          <t>外来</t>
        </is>
      </c>
      <c r="Q5" s="96" t="inlineStr">
        <is>
          <t>遅出</t>
        </is>
      </c>
      <c r="R5" s="97" t="inlineStr">
        <is>
          <t>11:00</t>
        </is>
      </c>
      <c r="S5" s="97" t="inlineStr">
        <is>
          <t>19:30</t>
        </is>
      </c>
    </row>
    <row r="6" ht="17.15" customHeight="1" s="52">
      <c r="A6" s="95" t="inlineStr">
        <is>
          <t>物品管理</t>
        </is>
      </c>
      <c r="B6" s="51" t="inlineStr">
        <is>
          <t>B 看護単位中心の活動</t>
        </is>
      </c>
      <c r="C6" s="51" t="inlineStr">
        <is>
          <t>sub_supplies</t>
        </is>
      </c>
      <c r="E6" s="95" t="inlineStr">
        <is>
          <t>測定・観察</t>
        </is>
      </c>
      <c r="F6" s="95" t="inlineStr">
        <is>
          <t>回診の介助</t>
        </is>
      </c>
      <c r="H6" s="95" t="inlineStr">
        <is>
          <t>引継ぎ</t>
        </is>
      </c>
      <c r="P6" s="96" t="inlineStr">
        <is>
          <t>その他</t>
        </is>
      </c>
      <c r="Q6" s="83" t="inlineStr">
        <is>
          <t>※既定の勤務時間。施設に合わせて編集可</t>
        </is>
      </c>
    </row>
    <row r="7" ht="17.15" customHeight="1" s="52">
      <c r="A7" s="95" t="inlineStr">
        <is>
          <t>環境整備</t>
        </is>
      </c>
      <c r="B7" s="51" t="inlineStr">
        <is>
          <t>B 看護単位中心の活動</t>
        </is>
      </c>
      <c r="C7" s="51" t="inlineStr">
        <is>
          <t>sub_env</t>
        </is>
      </c>
      <c r="E7" s="95" t="inlineStr">
        <is>
          <t>コミュニケーション</t>
        </is>
      </c>
      <c r="F7" s="95" t="inlineStr">
        <is>
          <t>検査</t>
        </is>
      </c>
      <c r="H7" s="95" t="inlineStr">
        <is>
          <t>カンファレンス</t>
        </is>
      </c>
    </row>
    <row r="8" ht="17.15" customHeight="1" s="52">
      <c r="A8" s="95" t="inlineStr">
        <is>
          <t>事務</t>
        </is>
      </c>
      <c r="B8" s="51" t="inlineStr">
        <is>
          <t>B 看護単位中心の活動</t>
        </is>
      </c>
      <c r="C8" s="51" t="inlineStr">
        <is>
          <t>sub_clerical</t>
        </is>
      </c>
      <c r="E8" s="95" t="inlineStr">
        <is>
          <t>病室環境整備</t>
        </is>
      </c>
      <c r="F8" s="95" t="inlineStr">
        <is>
          <t>病室巡視</t>
        </is>
      </c>
      <c r="H8" s="95" t="inlineStr">
        <is>
          <t>指示受け・報告</t>
        </is>
      </c>
    </row>
    <row r="9" ht="17.15" customHeight="1" s="52">
      <c r="A9" s="95" t="inlineStr">
        <is>
          <t>連絡</t>
        </is>
      </c>
      <c r="B9" s="51" t="inlineStr">
        <is>
          <t>B 看護単位中心の活動</t>
        </is>
      </c>
      <c r="C9" s="51" t="inlineStr">
        <is>
          <t>sub_contact</t>
        </is>
      </c>
      <c r="F9" s="51" t="inlineStr">
        <is>
          <t>MEの使用準備</t>
        </is>
      </c>
      <c r="H9" s="95" t="inlineStr">
        <is>
          <t>情報収集</t>
        </is>
      </c>
    </row>
    <row r="10" ht="17.15" customHeight="1" s="52">
      <c r="A10" s="95" t="inlineStr">
        <is>
          <t>管理・教育</t>
        </is>
      </c>
      <c r="B10" s="51" t="inlineStr">
        <is>
          <t>C 職員中心の活動</t>
        </is>
      </c>
      <c r="C10" s="51" t="inlineStr">
        <is>
          <t>sub_admin_edu</t>
        </is>
      </c>
    </row>
    <row r="11" ht="17.15" customHeight="1" s="52">
      <c r="A11" s="95" t="inlineStr">
        <is>
          <t>私用</t>
        </is>
      </c>
      <c r="B11" s="51" t="inlineStr">
        <is>
          <t>D その他の活動</t>
        </is>
      </c>
      <c r="C11" s="51" t="inlineStr">
        <is>
          <t>sub_personal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1" min="1" max="1"/>
    <col width="18" customWidth="1" style="51" min="2" max="2"/>
    <col width="13" customWidth="1" style="51" min="3" max="6"/>
  </cols>
  <sheetData>
    <row r="1" ht="17.35" customHeight="1" s="52">
      <c r="A1" s="98" t="inlineStr">
        <is>
          <t>集計結果（自動計算）</t>
        </is>
      </c>
    </row>
    <row r="2" ht="15" customHeight="1" s="52">
      <c r="A2" s="99" t="inlineStr">
        <is>
          <t>「入力」シートに書くと自動で反映されます。用紙の合計行と同じ並びです。</t>
        </is>
      </c>
    </row>
    <row r="4" ht="15" customHeight="1" s="52">
      <c r="A4" s="100" t="inlineStr">
        <is>
          <t>大分類</t>
        </is>
      </c>
      <c r="B4" s="100" t="inlineStr">
        <is>
          <t>中分類</t>
        </is>
      </c>
      <c r="C4" s="100" t="inlineStr">
        <is>
          <t>勤務時間内(分)</t>
        </is>
      </c>
      <c r="D4" s="100" t="inlineStr">
        <is>
          <t>勤務時間外(分)</t>
        </is>
      </c>
      <c r="E4" s="100" t="inlineStr">
        <is>
          <t>合計(分)</t>
        </is>
      </c>
      <c r="F4" s="100" t="inlineStr">
        <is>
          <t>割合</t>
        </is>
      </c>
    </row>
    <row r="5" ht="15" customHeight="1" s="52">
      <c r="A5" s="101" t="inlineStr">
        <is>
          <t>A 患者中心の看護活動</t>
        </is>
      </c>
      <c r="B5" s="102" t="inlineStr">
        <is>
          <t>直接看護Ⅰ</t>
        </is>
      </c>
      <c r="C5" s="103">
        <f>SUMIF(入力!$B$7:$B$126,$B5,入力!$D$7:$D$126)</f>
        <v/>
      </c>
      <c r="D5" s="103">
        <f>SUMIF(入力!$B$7:$B$126,$B5,入力!$E$7:$E$126)</f>
        <v/>
      </c>
      <c r="E5" s="103">
        <f>SUM($C5:$D5)</f>
        <v/>
      </c>
      <c r="F5" s="104">
        <f>IF($E$15=0,"",$E5/$E$15)</f>
        <v/>
      </c>
    </row>
    <row r="6" ht="15" customHeight="1" s="52">
      <c r="A6" s="102" t="n"/>
      <c r="B6" s="102" t="inlineStr">
        <is>
          <t>直接看護Ⅱ</t>
        </is>
      </c>
      <c r="C6" s="103">
        <f>SUMIF(入力!$B$7:$B$126,$B6,入力!$D$7:$D$126)</f>
        <v/>
      </c>
      <c r="D6" s="103">
        <f>SUMIF(入力!$B$7:$B$126,$B6,入力!$E$7:$E$126)</f>
        <v/>
      </c>
      <c r="E6" s="103">
        <f>SUM($C6:$D6)</f>
        <v/>
      </c>
      <c r="F6" s="104">
        <f>IF($E$15=0,"",$E6/$E$15)</f>
        <v/>
      </c>
    </row>
    <row r="7" ht="15" customHeight="1" s="52">
      <c r="A7" s="102" t="n"/>
      <c r="B7" s="102" t="inlineStr">
        <is>
          <t>直接看護Ⅲ</t>
        </is>
      </c>
      <c r="C7" s="103">
        <f>SUMIF(入力!$B$7:$B$126,$B7,入力!$D$7:$D$126)</f>
        <v/>
      </c>
      <c r="D7" s="103">
        <f>SUMIF(入力!$B$7:$B$126,$B7,入力!$E$7:$E$126)</f>
        <v/>
      </c>
      <c r="E7" s="103">
        <f>SUM($C7:$D7)</f>
        <v/>
      </c>
      <c r="F7" s="104">
        <f>IF($E$15=0,"",$E7/$E$15)</f>
        <v/>
      </c>
    </row>
    <row r="8" ht="15" customHeight="1" s="52">
      <c r="A8" s="102" t="n"/>
      <c r="B8" s="102" t="inlineStr">
        <is>
          <t>間接看護</t>
        </is>
      </c>
      <c r="C8" s="103">
        <f>SUMIF(入力!$B$7:$B$126,$B8,入力!$D$7:$D$126)</f>
        <v/>
      </c>
      <c r="D8" s="103">
        <f>SUMIF(入力!$B$7:$B$126,$B8,入力!$E$7:$E$126)</f>
        <v/>
      </c>
      <c r="E8" s="103">
        <f>SUM($C8:$D8)</f>
        <v/>
      </c>
      <c r="F8" s="104">
        <f>IF($E$15=0,"",$E8/$E$15)</f>
        <v/>
      </c>
    </row>
    <row r="9" ht="15" customHeight="1" s="52">
      <c r="A9" s="101" t="inlineStr">
        <is>
          <t>B 看護単位中心の活動</t>
        </is>
      </c>
      <c r="B9" s="102" t="inlineStr">
        <is>
          <t>物品管理</t>
        </is>
      </c>
      <c r="C9" s="103">
        <f>SUMIF(入力!$B$7:$B$126,$B9,入力!$D$7:$D$126)</f>
        <v/>
      </c>
      <c r="D9" s="103">
        <f>SUMIF(入力!$B$7:$B$126,$B9,入力!$E$7:$E$126)</f>
        <v/>
      </c>
      <c r="E9" s="103">
        <f>SUM($C9:$D9)</f>
        <v/>
      </c>
      <c r="F9" s="104">
        <f>IF($E$15=0,"",$E9/$E$15)</f>
        <v/>
      </c>
    </row>
    <row r="10" ht="15" customHeight="1" s="52">
      <c r="A10" s="102" t="n"/>
      <c r="B10" s="102" t="inlineStr">
        <is>
          <t>環境整備</t>
        </is>
      </c>
      <c r="C10" s="103">
        <f>SUMIF(入力!$B$7:$B$126,$B10,入力!$D$7:$D$126)</f>
        <v/>
      </c>
      <c r="D10" s="103">
        <f>SUMIF(入力!$B$7:$B$126,$B10,入力!$E$7:$E$126)</f>
        <v/>
      </c>
      <c r="E10" s="103">
        <f>SUM($C10:$D10)</f>
        <v/>
      </c>
      <c r="F10" s="104">
        <f>IF($E$15=0,"",$E10/$E$15)</f>
        <v/>
      </c>
    </row>
    <row r="11" ht="15" customHeight="1" s="52">
      <c r="A11" s="102" t="n"/>
      <c r="B11" s="102" t="inlineStr">
        <is>
          <t>事務</t>
        </is>
      </c>
      <c r="C11" s="103">
        <f>SUMIF(入力!$B$7:$B$126,$B11,入力!$D$7:$D$126)</f>
        <v/>
      </c>
      <c r="D11" s="103">
        <f>SUMIF(入力!$B$7:$B$126,$B11,入力!$E$7:$E$126)</f>
        <v/>
      </c>
      <c r="E11" s="103">
        <f>SUM($C11:$D11)</f>
        <v/>
      </c>
      <c r="F11" s="104">
        <f>IF($E$15=0,"",$E11/$E$15)</f>
        <v/>
      </c>
    </row>
    <row r="12" ht="15" customHeight="1" s="52">
      <c r="A12" s="102" t="n"/>
      <c r="B12" s="102" t="inlineStr">
        <is>
          <t>連絡</t>
        </is>
      </c>
      <c r="C12" s="103">
        <f>SUMIF(入力!$B$7:$B$126,$B12,入力!$D$7:$D$126)</f>
        <v/>
      </c>
      <c r="D12" s="103">
        <f>SUMIF(入力!$B$7:$B$126,$B12,入力!$E$7:$E$126)</f>
        <v/>
      </c>
      <c r="E12" s="103">
        <f>SUM($C12:$D12)</f>
        <v/>
      </c>
      <c r="F12" s="104">
        <f>IF($E$15=0,"",$E12/$E$15)</f>
        <v/>
      </c>
    </row>
    <row r="13" ht="15" customHeight="1" s="52">
      <c r="A13" s="101" t="inlineStr">
        <is>
          <t>C 職員中心の活動</t>
        </is>
      </c>
      <c r="B13" s="102" t="inlineStr">
        <is>
          <t>管理・教育</t>
        </is>
      </c>
      <c r="C13" s="103">
        <f>SUMIF(入力!$B$7:$B$126,$B13,入力!$D$7:$D$126)</f>
        <v/>
      </c>
      <c r="D13" s="103">
        <f>SUMIF(入力!$B$7:$B$126,$B13,入力!$E$7:$E$126)</f>
        <v/>
      </c>
      <c r="E13" s="103">
        <f>SUM($C13:$D13)</f>
        <v/>
      </c>
      <c r="F13" s="104">
        <f>IF($E$15=0,"",$E13/$E$15)</f>
        <v/>
      </c>
    </row>
    <row r="14" ht="15" customHeight="1" s="52">
      <c r="A14" s="101" t="inlineStr">
        <is>
          <t>D その他の活動</t>
        </is>
      </c>
      <c r="B14" s="102" t="inlineStr">
        <is>
          <t>私用</t>
        </is>
      </c>
      <c r="C14" s="103">
        <f>SUMIF(入力!$B$7:$B$126,$B14,入力!$D$7:$D$126)</f>
        <v/>
      </c>
      <c r="D14" s="103">
        <f>SUMIF(入力!$B$7:$B$126,$B14,入力!$E$7:$E$126)</f>
        <v/>
      </c>
      <c r="E14" s="103">
        <f>SUM($C14:$D14)</f>
        <v/>
      </c>
      <c r="F14" s="104">
        <f>IF($E$15=0,"",$E14/$E$15)</f>
        <v/>
      </c>
    </row>
    <row r="15" ht="15" customHeight="1" s="52">
      <c r="A15" s="105" t="n"/>
      <c r="B15" s="106" t="inlineStr">
        <is>
          <t>総計</t>
        </is>
      </c>
      <c r="C15" s="107">
        <f>SUM($C5:$C14)</f>
        <v/>
      </c>
      <c r="D15" s="107">
        <f>SUM($D5:$D14)</f>
        <v/>
      </c>
      <c r="E15" s="107">
        <f>SUM($E5:$E14)</f>
        <v/>
      </c>
      <c r="F15" s="108" t="n"/>
    </row>
    <row r="17" ht="15" customHeight="1" s="52">
      <c r="A17" s="96" t="inlineStr">
        <is>
          <t>大分類別</t>
        </is>
      </c>
      <c r="B17" s="96" t="n"/>
      <c r="C17" s="96" t="n"/>
      <c r="D17" s="96" t="n"/>
      <c r="E17" s="96" t="n"/>
      <c r="F17" s="96" t="n"/>
    </row>
    <row r="18" ht="15" customHeight="1" s="52">
      <c r="A18" s="109" t="inlineStr">
        <is>
          <t>大分類</t>
        </is>
      </c>
      <c r="B18" s="96" t="n"/>
      <c r="C18" s="109" t="inlineStr">
        <is>
          <t>勤務時間内(分)</t>
        </is>
      </c>
      <c r="D18" s="109" t="inlineStr">
        <is>
          <t>勤務時間外(分)</t>
        </is>
      </c>
      <c r="E18" s="109" t="inlineStr">
        <is>
          <t>合計(分)</t>
        </is>
      </c>
      <c r="F18" s="109" t="inlineStr">
        <is>
          <t>割合</t>
        </is>
      </c>
    </row>
    <row r="19" ht="15" customHeight="1" s="52">
      <c r="A19" s="101" t="inlineStr">
        <is>
          <t>A 患者中心の看護活動</t>
        </is>
      </c>
      <c r="B19" s="102" t="n"/>
      <c r="C19" s="103">
        <f>SUMPRODUCT((定義!$B$2:$B$11=$A19)*$C$5:$C$14)</f>
        <v/>
      </c>
      <c r="D19" s="103">
        <f>SUMPRODUCT((定義!$B$2:$B$11=$A19)*$D$5:$D$14)</f>
        <v/>
      </c>
      <c r="E19" s="103">
        <f>SUM($C19:$D19)</f>
        <v/>
      </c>
      <c r="F19" s="104">
        <f>IF($E$15=0,"",$E19/$E$15)</f>
        <v/>
      </c>
    </row>
    <row r="20" ht="15" customHeight="1" s="52">
      <c r="A20" s="101" t="inlineStr">
        <is>
          <t>B 看護単位中心の活動</t>
        </is>
      </c>
      <c r="B20" s="102" t="n"/>
      <c r="C20" s="103">
        <f>SUMPRODUCT((定義!$B$2:$B$11=$A20)*$C$5:$C$14)</f>
        <v/>
      </c>
      <c r="D20" s="103">
        <f>SUMPRODUCT((定義!$B$2:$B$11=$A20)*$D$5:$D$14)</f>
        <v/>
      </c>
      <c r="E20" s="103">
        <f>SUM($C20:$D20)</f>
        <v/>
      </c>
      <c r="F20" s="104">
        <f>IF($E$15=0,"",$E20/$E$15)</f>
        <v/>
      </c>
    </row>
    <row r="21" ht="15" customHeight="1" s="52">
      <c r="A21" s="101" t="inlineStr">
        <is>
          <t>C 職員中心の活動</t>
        </is>
      </c>
      <c r="B21" s="102" t="n"/>
      <c r="C21" s="103">
        <f>SUMPRODUCT((定義!$B$2:$B$11=$A21)*$C$5:$C$14)</f>
        <v/>
      </c>
      <c r="D21" s="103">
        <f>SUMPRODUCT((定義!$B$2:$B$11=$A21)*$D$5:$D$14)</f>
        <v/>
      </c>
      <c r="E21" s="103">
        <f>SUM($C21:$D21)</f>
        <v/>
      </c>
      <c r="F21" s="104">
        <f>IF($E$15=0,"",$E21/$E$15)</f>
        <v/>
      </c>
    </row>
    <row r="22" ht="15" customHeight="1" s="52">
      <c r="A22" s="101" t="inlineStr">
        <is>
          <t>D その他の活動</t>
        </is>
      </c>
      <c r="B22" s="102" t="n"/>
      <c r="C22" s="103">
        <f>SUMPRODUCT((定義!$B$2:$B$11=$A22)*$C$5:$C$14)</f>
        <v/>
      </c>
      <c r="D22" s="103">
        <f>SUMPRODUCT((定義!$B$2:$B$11=$A22)*$D$5:$D$14)</f>
        <v/>
      </c>
      <c r="E22" s="103">
        <f>SUM($C22:$D22)</f>
        <v/>
      </c>
      <c r="F22" s="104">
        <f>IF($E$15=0,"",$E22/$E$15)</f>
        <v/>
      </c>
    </row>
    <row r="24" ht="15" customHeight="1" s="52">
      <c r="A24" s="97" t="inlineStr">
        <is>
          <t>★ AI効果測定ベースライン</t>
        </is>
      </c>
      <c r="B24" s="96" t="n"/>
      <c r="C24" s="96" t="n"/>
      <c r="D24" s="96" t="n"/>
      <c r="E24" s="96" t="n"/>
      <c r="F24" s="96" t="n"/>
    </row>
    <row r="25" ht="15" customHeight="1" s="52">
      <c r="A25" s="110" t="inlineStr">
        <is>
          <t>AIツール</t>
        </is>
      </c>
      <c r="B25" s="109" t="inlineStr">
        <is>
          <t>対象業務</t>
        </is>
      </c>
      <c r="C25" s="109" t="inlineStr">
        <is>
          <t>勤務時間内(分)</t>
        </is>
      </c>
      <c r="D25" s="109" t="inlineStr">
        <is>
          <t>勤務時間外(分)</t>
        </is>
      </c>
      <c r="E25" s="109" t="inlineStr">
        <is>
          <t>合計(分)</t>
        </is>
      </c>
      <c r="F25" s="111" t="inlineStr">
        <is>
          <t>割合</t>
        </is>
      </c>
    </row>
    <row r="26" ht="15" customHeight="1" s="52">
      <c r="A26" s="101" t="inlineStr">
        <is>
          <t>medai SOAP Voice</t>
        </is>
      </c>
      <c r="B26" s="102" t="inlineStr">
        <is>
          <t>看護記録</t>
        </is>
      </c>
      <c r="C26" s="103">
        <f>SUMIF(入力!$C$7:$C$126,$B26,入力!$D$7:$D$126)</f>
        <v/>
      </c>
      <c r="D26" s="103">
        <f>SUMIF(入力!$C$7:$C$126,$B26,入力!$E$7:$E$126)</f>
        <v/>
      </c>
      <c r="E26" s="103">
        <f>SUM($C26:$D26)</f>
        <v/>
      </c>
      <c r="F26" s="112">
        <f>IF($E$15=0,"",$E26/$E$15)</f>
        <v/>
      </c>
    </row>
    <row r="27" ht="15" customHeight="1" s="52">
      <c r="A27" s="101" t="inlineStr">
        <is>
          <t>SummyAI</t>
        </is>
      </c>
      <c r="B27" s="102" t="inlineStr">
        <is>
          <t>サマリー</t>
        </is>
      </c>
      <c r="C27" s="103">
        <f>SUMIF(入力!$C$7:$C$126,$B27,入力!$D$7:$D$126)</f>
        <v/>
      </c>
      <c r="D27" s="103">
        <f>SUMIF(入力!$C$7:$C$126,$B27,入力!$E$7:$E$126)</f>
        <v/>
      </c>
      <c r="E27" s="103">
        <f>SUM($C27:$D27)</f>
        <v/>
      </c>
      <c r="F27" s="112">
        <f>IF($E$15=0,"",$E27/$E$15)</f>
        <v/>
      </c>
    </row>
    <row r="28" ht="15" customHeight="1" s="52">
      <c r="A28" s="102" t="inlineStr">
        <is>
          <t>議事録自動生成</t>
        </is>
      </c>
      <c r="B28" s="102" t="inlineStr">
        <is>
          <t>カンファレンス</t>
        </is>
      </c>
      <c r="C28" s="103">
        <f>SUMIF(入力!$C$7:$C$126,$B28,入力!$D$7:$D$126)</f>
        <v/>
      </c>
      <c r="D28" s="103">
        <f>SUMIF(入力!$C$7:$C$126,$B28,入力!$E$7:$E$126)</f>
        <v/>
      </c>
      <c r="E28" s="103">
        <f>SUM($C28:$D28)</f>
        <v/>
      </c>
      <c r="F28" s="112">
        <f>IF($E$15=0,"",$E28/$E$15)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2026-07-17T08:17:34Z</dcterms:created>
  <dcterms:modified xmlns:dcterms="http://purl.org/dc/terms/" xmlns:xsi="http://www.w3.org/2001/XMLSchema-instance" xsi:type="dcterms:W3CDTF">2026-07-17T12:42:24Z</dcterms:modified>
  <cp:revision>0</cp:revision>
</cp:coreProperties>
</file>